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eu Drive\UFCG\2026 UFCG\"/>
    </mc:Choice>
  </mc:AlternateContent>
  <xr:revisionPtr revIDLastSave="0" documentId="8_{06C5659F-654A-4966-8753-ADFE531E27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DS" sheetId="1" r:id="rId1"/>
    <sheet name="REITORIAGABINETE" sheetId="2" r:id="rId2"/>
    <sheet name="SEPLAN" sheetId="3" r:id="rId3"/>
    <sheet name="PRGAF" sheetId="4" r:id="rId4"/>
    <sheet name="PRE" sheetId="5" r:id="rId5"/>
    <sheet name="PROPEX" sheetId="6" r:id="rId6"/>
    <sheet name="PRAC" sheetId="7" r:id="rId7"/>
    <sheet name="SRH" sheetId="8" r:id="rId8"/>
    <sheet name="PU" sheetId="9" r:id="rId9"/>
    <sheet name="SEPE" sheetId="10" r:id="rId10"/>
    <sheet name="PRPG" sheetId="11" r:id="rId11"/>
    <sheet name="Dotação Atualizada" sheetId="12" r:id="rId12"/>
    <sheet name="Memória de Cálculo para Limite " sheetId="13" r:id="rId13"/>
  </sheets>
  <calcPr calcId="191029"/>
</workbook>
</file>

<file path=xl/calcChain.xml><?xml version="1.0" encoding="utf-8"?>
<calcChain xmlns="http://schemas.openxmlformats.org/spreadsheetml/2006/main">
  <c r="G54" i="13" l="1"/>
  <c r="G55" i="13" s="1"/>
  <c r="F54" i="13"/>
  <c r="G48" i="13"/>
  <c r="F48" i="13"/>
  <c r="G45" i="13"/>
  <c r="F45" i="13"/>
  <c r="G40" i="13"/>
  <c r="F40" i="13"/>
  <c r="G35" i="13"/>
  <c r="F35" i="13"/>
  <c r="G30" i="13"/>
  <c r="F30" i="13"/>
  <c r="F55" i="13" s="1"/>
  <c r="G25" i="13"/>
  <c r="F25" i="13"/>
  <c r="G22" i="13"/>
  <c r="F22" i="13"/>
  <c r="G18" i="13"/>
  <c r="F18" i="13"/>
  <c r="J19" i="12"/>
  <c r="E18" i="11"/>
  <c r="D18" i="11"/>
  <c r="C18" i="11"/>
  <c r="F17" i="11"/>
  <c r="F16" i="11"/>
  <c r="F15" i="11"/>
  <c r="F14" i="11"/>
  <c r="F13" i="11"/>
  <c r="F12" i="11"/>
  <c r="F11" i="11"/>
  <c r="F18" i="11" s="1"/>
  <c r="D5" i="11"/>
  <c r="F18" i="10"/>
  <c r="E18" i="10"/>
  <c r="D18" i="10"/>
  <c r="C18" i="10"/>
  <c r="F17" i="10"/>
  <c r="F16" i="10"/>
  <c r="F15" i="10"/>
  <c r="F14" i="10"/>
  <c r="F13" i="10"/>
  <c r="F12" i="10"/>
  <c r="F11" i="10"/>
  <c r="D5" i="10"/>
  <c r="E18" i="9"/>
  <c r="D18" i="9"/>
  <c r="C18" i="9"/>
  <c r="D4" i="9" s="1"/>
  <c r="F17" i="9"/>
  <c r="F16" i="9"/>
  <c r="F15" i="9"/>
  <c r="F14" i="9"/>
  <c r="F13" i="9"/>
  <c r="F12" i="9"/>
  <c r="F11" i="9"/>
  <c r="F18" i="9" s="1"/>
  <c r="G12" i="9" s="1"/>
  <c r="E18" i="8"/>
  <c r="D18" i="8"/>
  <c r="C18" i="8"/>
  <c r="D4" i="8" s="1"/>
  <c r="D5" i="8" s="1"/>
  <c r="F17" i="8"/>
  <c r="F16" i="8"/>
  <c r="F18" i="8" s="1"/>
  <c r="F15" i="8"/>
  <c r="F14" i="8"/>
  <c r="F13" i="8"/>
  <c r="F12" i="8"/>
  <c r="F11" i="8"/>
  <c r="E18" i="7"/>
  <c r="C18" i="7"/>
  <c r="D4" i="7" s="1"/>
  <c r="D5" i="7" s="1"/>
  <c r="F17" i="7"/>
  <c r="F16" i="7"/>
  <c r="F15" i="7"/>
  <c r="F14" i="7"/>
  <c r="F13" i="7"/>
  <c r="F12" i="7"/>
  <c r="F18" i="7" s="1"/>
  <c r="F11" i="7"/>
  <c r="E18" i="6"/>
  <c r="D18" i="6"/>
  <c r="C18" i="6"/>
  <c r="F17" i="6"/>
  <c r="F16" i="6"/>
  <c r="F15" i="6"/>
  <c r="F14" i="6"/>
  <c r="F13" i="6"/>
  <c r="F12" i="6"/>
  <c r="F11" i="6"/>
  <c r="F18" i="6" s="1"/>
  <c r="D4" i="6"/>
  <c r="D5" i="6" s="1"/>
  <c r="E18" i="5"/>
  <c r="D18" i="5"/>
  <c r="C18" i="5"/>
  <c r="F17" i="5"/>
  <c r="F16" i="5"/>
  <c r="F15" i="5"/>
  <c r="F14" i="5"/>
  <c r="F13" i="5"/>
  <c r="F12" i="5"/>
  <c r="F11" i="5"/>
  <c r="F18" i="5" s="1"/>
  <c r="D4" i="5"/>
  <c r="D5" i="5" s="1"/>
  <c r="E18" i="4"/>
  <c r="D18" i="4"/>
  <c r="D5" i="4" s="1"/>
  <c r="C18" i="4"/>
  <c r="F17" i="4"/>
  <c r="F16" i="4"/>
  <c r="F15" i="4"/>
  <c r="F14" i="4"/>
  <c r="F13" i="4"/>
  <c r="D12" i="4"/>
  <c r="F12" i="4" s="1"/>
  <c r="D11" i="4"/>
  <c r="F11" i="4" s="1"/>
  <c r="F18" i="4" s="1"/>
  <c r="D4" i="4"/>
  <c r="E18" i="3"/>
  <c r="C18" i="3"/>
  <c r="D4" i="3" s="1"/>
  <c r="F17" i="3"/>
  <c r="F16" i="3"/>
  <c r="F15" i="3"/>
  <c r="F14" i="3"/>
  <c r="F13" i="3"/>
  <c r="F12" i="3"/>
  <c r="C18" i="2"/>
  <c r="D4" i="2" s="1"/>
  <c r="F17" i="2"/>
  <c r="F16" i="2"/>
  <c r="F15" i="2"/>
  <c r="D14" i="2"/>
  <c r="F14" i="2" s="1"/>
  <c r="F13" i="2"/>
  <c r="E12" i="2"/>
  <c r="E18" i="2" s="1"/>
  <c r="D12" i="2"/>
  <c r="F12" i="2" s="1"/>
  <c r="D11" i="2"/>
  <c r="D18" i="2" s="1"/>
  <c r="E18" i="1"/>
  <c r="D18" i="1"/>
  <c r="C18" i="1"/>
  <c r="F57" i="13" s="1"/>
  <c r="F17" i="1"/>
  <c r="F16" i="1"/>
  <c r="D15" i="1"/>
  <c r="F15" i="1" s="1"/>
  <c r="F14" i="1"/>
  <c r="F13" i="1"/>
  <c r="F12" i="1"/>
  <c r="D11" i="1"/>
  <c r="F11" i="1" s="1"/>
  <c r="D5" i="9" l="1"/>
  <c r="D11" i="3"/>
  <c r="F18" i="1"/>
  <c r="D5" i="2"/>
  <c r="F11" i="2"/>
  <c r="F18" i="2" s="1"/>
  <c r="G11" i="9"/>
  <c r="G18" i="9" s="1"/>
  <c r="D4" i="1"/>
  <c r="D5" i="1" s="1"/>
  <c r="D18" i="3" l="1"/>
  <c r="D5" i="3" s="1"/>
  <c r="F11" i="3"/>
  <c r="F18" i="3" s="1"/>
  <c r="G57" i="13"/>
</calcChain>
</file>

<file path=xl/sharedStrings.xml><?xml version="1.0" encoding="utf-8"?>
<sst xmlns="http://schemas.openxmlformats.org/spreadsheetml/2006/main" count="410" uniqueCount="137">
  <si>
    <t>PLANEJAMENTO ORÇAMENTÁRIO – EXERCÍCIO 2026</t>
  </si>
  <si>
    <r>
      <rPr>
        <b/>
        <sz val="10"/>
        <color rgb="FFFFFFFF"/>
        <rFont val="Arial"/>
      </rPr>
      <t xml:space="preserve">Limite 2026 </t>
    </r>
    <r>
      <rPr>
        <i/>
        <sz val="10"/>
        <color rgb="FFFFFFFF"/>
        <rFont val="Arial"/>
      </rPr>
      <t>(75% 2025)</t>
    </r>
  </si>
  <si>
    <r>
      <rPr>
        <b/>
        <sz val="10"/>
        <color rgb="FFFFFFFF"/>
        <rFont val="Arial"/>
      </rPr>
      <t xml:space="preserve">Limite 2026 </t>
    </r>
    <r>
      <rPr>
        <i/>
        <sz val="10"/>
        <color rgb="FFFFFFFF"/>
        <rFont val="Arial"/>
      </rPr>
      <t>(75% 2025)</t>
    </r>
  </si>
  <si>
    <r>
      <rPr>
        <b/>
        <sz val="10"/>
        <color rgb="FFFFFFFF"/>
        <rFont val="Arial"/>
      </rPr>
      <t xml:space="preserve">Limite 2026 </t>
    </r>
    <r>
      <rPr>
        <i/>
        <sz val="10"/>
        <color rgb="FFFFFFFF"/>
        <rFont val="Arial"/>
      </rPr>
      <t>(75% 2025)</t>
    </r>
  </si>
  <si>
    <r>
      <rPr>
        <b/>
        <sz val="10"/>
        <color rgb="FFFFFFFF"/>
        <rFont val="Arial"/>
      </rPr>
      <t xml:space="preserve">Limite 2026 </t>
    </r>
    <r>
      <rPr>
        <i/>
        <sz val="10"/>
        <color rgb="FFFFFFFF"/>
        <rFont val="Arial"/>
      </rPr>
      <t>(75% 2025)</t>
    </r>
  </si>
  <si>
    <t>Saldo</t>
  </si>
  <si>
    <t xml:space="preserve">Unidade Solicitante: </t>
  </si>
  <si>
    <t>SODS</t>
  </si>
  <si>
    <t xml:space="preserve">Unidade Solicitante:  </t>
  </si>
  <si>
    <t>REITORIA/GABINETE</t>
  </si>
  <si>
    <t>SEPLAN</t>
  </si>
  <si>
    <r>
      <rPr>
        <b/>
        <sz val="12"/>
        <color theme="1"/>
        <rFont val="Arial"/>
      </rPr>
      <t xml:space="preserve">PI: </t>
    </r>
    <r>
      <rPr>
        <sz val="12"/>
        <color theme="1"/>
        <rFont val="Arial"/>
      </rPr>
      <t>M20RKG01A0N</t>
    </r>
  </si>
  <si>
    <r>
      <rPr>
        <b/>
        <sz val="12"/>
        <color theme="1"/>
        <rFont val="Arial"/>
      </rPr>
      <t xml:space="preserve">PI: </t>
    </r>
    <r>
      <rPr>
        <sz val="12"/>
        <color theme="1"/>
        <rFont val="Arial"/>
      </rPr>
      <t>M20RKG01B1N</t>
    </r>
  </si>
  <si>
    <r>
      <rPr>
        <b/>
        <sz val="12"/>
        <color theme="1"/>
        <rFont val="Arial"/>
      </rPr>
      <t xml:space="preserve">PI: </t>
    </r>
    <r>
      <rPr>
        <sz val="12"/>
        <color theme="1"/>
        <rFont val="Arial"/>
      </rPr>
      <t>M20RKG01A1N</t>
    </r>
  </si>
  <si>
    <t>Natureza da Despesa </t>
  </si>
  <si>
    <t>VALOR EXERCÍCIO 2025 (BASE)</t>
  </si>
  <si>
    <t xml:space="preserve">VALOR EXERCÍCIO 2026 </t>
  </si>
  <si>
    <t>VALOR DETALHADO</t>
  </si>
  <si>
    <t>SALDO A DISPONIBILIZAR</t>
  </si>
  <si>
    <t>Código </t>
  </si>
  <si>
    <t>Denominação </t>
  </si>
  <si>
    <t>339014 </t>
  </si>
  <si>
    <t>Diárias - Pessoal Civil </t>
  </si>
  <si>
    <t>PRGAF(PRA)</t>
  </si>
  <si>
    <r>
      <rPr>
        <b/>
        <sz val="12"/>
        <color theme="1"/>
        <rFont val="Arial"/>
      </rPr>
      <t xml:space="preserve">PI: </t>
    </r>
    <r>
      <rPr>
        <sz val="12"/>
        <color theme="1"/>
        <rFont val="Arial"/>
      </rPr>
      <t>M20RKG01C1N</t>
    </r>
  </si>
  <si>
    <t>Passagens e Despesas com Locomoção </t>
  </si>
  <si>
    <t>Outros Serviços de Terceiros-PF</t>
  </si>
  <si>
    <t>Outros Serviços de Terceiros-PJ </t>
  </si>
  <si>
    <t>Auxilio Financeiro a  Estudantes</t>
  </si>
  <si>
    <t>Despesas de exercicios anteriores</t>
  </si>
  <si>
    <t> </t>
  </si>
  <si>
    <t>Total </t>
  </si>
  <si>
    <t>Obs.: Caso seja necessário adicionar outra natureza de despesa justificar a inclusão.</t>
  </si>
  <si>
    <r>
      <rPr>
        <b/>
        <sz val="10"/>
        <color rgb="FFFFFFFF"/>
        <rFont val="Arial"/>
      </rPr>
      <t xml:space="preserve">Limite 2026 </t>
    </r>
    <r>
      <rPr>
        <i/>
        <sz val="10"/>
        <color rgb="FFFFFFFF"/>
        <rFont val="Arial"/>
      </rPr>
      <t>(75% 2025)</t>
    </r>
  </si>
  <si>
    <t>PRE</t>
  </si>
  <si>
    <r>
      <rPr>
        <b/>
        <sz val="12"/>
        <color theme="1"/>
        <rFont val="Arial"/>
      </rPr>
      <t xml:space="preserve">PI: </t>
    </r>
    <r>
      <rPr>
        <sz val="12"/>
        <color theme="1"/>
        <rFont val="Arial"/>
      </rPr>
      <t>M20RKG01D1N</t>
    </r>
  </si>
  <si>
    <r>
      <rPr>
        <b/>
        <sz val="10"/>
        <color rgb="FFFFFFFF"/>
        <rFont val="Arial"/>
      </rPr>
      <t xml:space="preserve">Limite 2026 </t>
    </r>
    <r>
      <rPr>
        <i/>
        <sz val="10"/>
        <color rgb="FFFFFFFF"/>
        <rFont val="Arial"/>
      </rPr>
      <t>(75% 2025)</t>
    </r>
  </si>
  <si>
    <t>PROPEX</t>
  </si>
  <si>
    <r>
      <rPr>
        <b/>
        <sz val="12"/>
        <color theme="1"/>
        <rFont val="Arial"/>
      </rPr>
      <t xml:space="preserve">PI: </t>
    </r>
    <r>
      <rPr>
        <sz val="12"/>
        <color theme="1"/>
        <rFont val="Arial"/>
      </rPr>
      <t>M20RKG01F1N</t>
    </r>
  </si>
  <si>
    <r>
      <rPr>
        <b/>
        <sz val="10"/>
        <color rgb="FFFFFFFF"/>
        <rFont val="Arial"/>
      </rPr>
      <t xml:space="preserve">Limite 2026 </t>
    </r>
    <r>
      <rPr>
        <i/>
        <sz val="10"/>
        <color rgb="FFFFFFFF"/>
        <rFont val="Arial"/>
      </rPr>
      <t>(75% 2025)</t>
    </r>
  </si>
  <si>
    <t>PRAC</t>
  </si>
  <si>
    <r>
      <rPr>
        <b/>
        <sz val="12"/>
        <color theme="1"/>
        <rFont val="Arial"/>
      </rPr>
      <t xml:space="preserve">PI: </t>
    </r>
    <r>
      <rPr>
        <sz val="12"/>
        <color theme="1"/>
        <rFont val="Arial"/>
      </rPr>
      <t>M20RKG01G1N</t>
    </r>
  </si>
  <si>
    <r>
      <rPr>
        <b/>
        <sz val="10"/>
        <color rgb="FFFFFFFF"/>
        <rFont val="Arial"/>
      </rPr>
      <t>Limite 2026 (</t>
    </r>
    <r>
      <rPr>
        <i/>
        <sz val="10"/>
        <color rgb="FFFFFFFF"/>
        <rFont val="Arial"/>
      </rPr>
      <t>75% 2025)</t>
    </r>
  </si>
  <si>
    <t>SRH</t>
  </si>
  <si>
    <r>
      <rPr>
        <b/>
        <sz val="12"/>
        <color theme="1"/>
        <rFont val="Arial"/>
      </rPr>
      <t xml:space="preserve">PI: </t>
    </r>
    <r>
      <rPr>
        <sz val="12"/>
        <color theme="1"/>
        <rFont val="Arial"/>
      </rPr>
      <t>M20RKG01H1N</t>
    </r>
  </si>
  <si>
    <r>
      <rPr>
        <b/>
        <sz val="10"/>
        <color rgb="FFFFFFFF"/>
        <rFont val="Arial"/>
      </rPr>
      <t xml:space="preserve">Limite 2026 </t>
    </r>
    <r>
      <rPr>
        <i/>
        <sz val="10"/>
        <color rgb="FFFFFFFF"/>
        <rFont val="Arial"/>
      </rPr>
      <t>(75% 2025)</t>
    </r>
  </si>
  <si>
    <t>PU</t>
  </si>
  <si>
    <r>
      <rPr>
        <b/>
        <sz val="12"/>
        <color theme="1"/>
        <rFont val="Arial"/>
      </rPr>
      <t xml:space="preserve">PI: </t>
    </r>
    <r>
      <rPr>
        <sz val="12"/>
        <color theme="1"/>
        <rFont val="Arial"/>
      </rPr>
      <t>M20RKG01I1N</t>
    </r>
  </si>
  <si>
    <r>
      <rPr>
        <b/>
        <sz val="10"/>
        <color rgb="FFFFFFFF"/>
        <rFont val="Arial"/>
      </rPr>
      <t xml:space="preserve">Limite 2026 </t>
    </r>
    <r>
      <rPr>
        <i/>
        <sz val="10"/>
        <color rgb="FFFFFFFF"/>
        <rFont val="Arial"/>
      </rPr>
      <t>(75% 2025)</t>
    </r>
  </si>
  <si>
    <t>SEPE</t>
  </si>
  <si>
    <t>PI:</t>
  </si>
  <si>
    <r>
      <rPr>
        <b/>
        <sz val="10"/>
        <color rgb="FFFFFFFF"/>
        <rFont val="Arial"/>
      </rPr>
      <t xml:space="preserve">Limite 2026 </t>
    </r>
    <r>
      <rPr>
        <i/>
        <sz val="10"/>
        <color rgb="FFFFFFFF"/>
        <rFont val="Arial"/>
      </rPr>
      <t>(75% 2025)</t>
    </r>
  </si>
  <si>
    <t>PRPG</t>
  </si>
  <si>
    <t>MINISTÉRIO DA EDUCAÇÃO
 UNIVERSIDADE FEDERAL DE CAMPINA GRANDE
 PRÓ-REITORIA DE GESTÃO ADMINISTRATIVO-FINANCEIRA</t>
  </si>
  <si>
    <t>Controle de Créditos - Pró-Reitorias 2026</t>
  </si>
  <si>
    <t>Filtro do relatório:</t>
  </si>
  <si>
    <t>({Unidade Orçamentária} = 26252:UNIVERSIDADE FEDERAL DE CAMPINA GRANDE) E ({CONTROLE ORÇAMENTÁRIO DOS CENTROS} = 13:DOTACAO ATUALIZADA) E ({Ano Lançamento} = 2026)</t>
  </si>
  <si>
    <t>Filtro de exibição:</t>
  </si>
  <si>
    <t>PI ({Código PI}) = "M20RKG01A1N"; "M20RKG01C1N"; "M20RKG01D1N"; "M20RKG01F1N"; "M20RKG01G1N"; "M20RKG01B1N"; "M20RKG01H1N"; "M20RKG01I1N" OU "M20RKG01A0N"</t>
  </si>
  <si>
    <t>PI</t>
  </si>
  <si>
    <t>Natureza Despesa</t>
  </si>
  <si>
    <t>Ano Lançamento</t>
  </si>
  <si>
    <t>CONTROLE ORÇAMENTÁRIO DOS CENTROS</t>
  </si>
  <si>
    <t>DOTACAO ATUALIZADA</t>
  </si>
  <si>
    <t>Ação Governo</t>
  </si>
  <si>
    <t>Movim. Líquido - R$ (Item Informação)</t>
  </si>
  <si>
    <t>M20RKG01A0N</t>
  </si>
  <si>
    <t>GESTAO DA UNIDADE-SODS</t>
  </si>
  <si>
    <t>DIARIAS - PESSOAL CIVIL</t>
  </si>
  <si>
    <t>20RK</t>
  </si>
  <si>
    <t>AUXILIO FINANCEIRO A ESTUDANTES</t>
  </si>
  <si>
    <t>Total</t>
  </si>
  <si>
    <t>M20RKG01A1N</t>
  </si>
  <si>
    <t>GESTAO DA UNIDADE-REITORIA/GABINETE</t>
  </si>
  <si>
    <t>PASSAGENS E DESPESAS COM LOCOMOCAO</t>
  </si>
  <si>
    <t>DESPESAS DE EXERCICIOS ANTERIORES</t>
  </si>
  <si>
    <t>M20RKG01C1N</t>
  </si>
  <si>
    <t>GESTAO DA UNIDADE-PRA</t>
  </si>
  <si>
    <t>OUTROS SERVICOS DE TERCEIROS - PESSOA JURIDICA</t>
  </si>
  <si>
    <t>SERVICOS DE TECNOLOGIA DA INFORMACAO E COMUNICACAO - PJ</t>
  </si>
  <si>
    <t>M20RKG01D1N</t>
  </si>
  <si>
    <t>GESTAO DA UNIDADE-PRE</t>
  </si>
  <si>
    <t>M20RKG01G1N</t>
  </si>
  <si>
    <t>GESTAO DA UNIDADE-PRAC</t>
  </si>
  <si>
    <t>M20RKG01H1N</t>
  </si>
  <si>
    <t>GESTAO DA UNIDADE-SRH</t>
  </si>
  <si>
    <t>M20RKG01I1N</t>
  </si>
  <si>
    <t>GESTAO DA UNIDADE-PU</t>
  </si>
  <si>
    <t>OBRIGACOES TRIBUTARIAS E CONTRIBUTIVAS</t>
  </si>
  <si>
    <t>Nome do Usuário: Nivaldo Silva Do Rego Junior
 Data de Extração: 24/3/2026</t>
  </si>
  <si>
    <t>Limite Orçamento 2026 - Ação 20RK</t>
  </si>
  <si>
    <t>({Unidade Orçamentária} = 26252:UNIVERSIDADE FEDERAL DE CAMPINA GRANDE) E ({CONTROLE ORÇAMENTÁRIO DOS CENTROS} = 23:DESPESAS EMPENHADAS) E ({Ano Lançamento} = 2025) E ({Natureza Despesa} = 339014:DIARIAS - PESSOAL CIVIL, 339033:PASSAGENS E DESPESAS COM LOCOMOCAO, 339039:OUTROS SERVICOS DE TERCEIROS - PESSOA JURIDICA, 332036:OUTROS SERVICOS DE TERCEIROS - PESSOA FISICA) E ({Ação Governo} = 20RK:FUNCIONAMENTO DE INSTITUICOES FEDERAIS DE ENSINO SUPERIOR)</t>
  </si>
  <si>
    <t>{Movim. Líquido - R$ (Item Informação)} &lt;&gt; 0</t>
  </si>
  <si>
    <t>Natureza Despesa Detalhada</t>
  </si>
  <si>
    <t>Orçamento 2025</t>
  </si>
  <si>
    <t>Limite para 2026 (75% de 2025)</t>
  </si>
  <si>
    <t>NE - Descrição</t>
  </si>
  <si>
    <t>DIARIAS NO PAIS</t>
  </si>
  <si>
    <t>ATENDER DESPESAS COM DIARIAS NACIONAISSODS</t>
  </si>
  <si>
    <t>ATENDER DESPESAS COM DIARIAS NACIONAIS - REITORIA-GABINETE/UFCG.</t>
  </si>
  <si>
    <t>PASSAGENS PARA O PAIS</t>
  </si>
  <si>
    <t>ATENDER DESPESAS COM PASSAGENS NACIONAIS - REITORIA-GABINETE/UFCG.</t>
  </si>
  <si>
    <t>FESTIVIDADES E HOMENAGENS</t>
  </si>
  <si>
    <t>ATENDER DESPESAS COM SERVICOS DE COFFEE BREAK E KITS LANCHES - REITORIA/GABINETE.</t>
  </si>
  <si>
    <t>M20RKG01B1N</t>
  </si>
  <si>
    <t>GESTAO DA UNIDADE-SEPLAN</t>
  </si>
  <si>
    <t>ATENDER DESPESAS COM DIARIAS NACIONAISSEPLAN</t>
  </si>
  <si>
    <t>ATENDER DESPESAS COM AQUISICAO DE PASSAGENS AEREAS NACIONAIS - CONTRATO 23/2023SEPLAN</t>
  </si>
  <si>
    <t>ATENDER DESPESAS COM DIARIAS NACIONAIS - PRGAF/UFCG.</t>
  </si>
  <si>
    <t>AQUISICAO DE PASSAGENS AEREAS NACIONAIS - CONTRATO 23/2023PRGAF</t>
  </si>
  <si>
    <t>SERVICOS TECNICOS PROFISSIONAIS</t>
  </si>
  <si>
    <t>ADESAO ATA 9011/2024 - UASG 153019 - UTFPRPRGAF/ALMOXARIFADO VIRTUAL</t>
  </si>
  <si>
    <t>SERVICO DE SELECAO E TREINAMENTO</t>
  </si>
  <si>
    <t>ATENDER DESPESAS COM TAXA DE INSCRICAOPRGAF/UFCG</t>
  </si>
  <si>
    <t>ATENDER DESPESAS COM DIARIAS NACIONAISPRE</t>
  </si>
  <si>
    <t>AQUISICAO DE PASSAGENS AEREAS - CONTRATO 23/2023PRE</t>
  </si>
  <si>
    <t>DIARIAS A COLABORADORES EVENTUAIS NO PAIS</t>
  </si>
  <si>
    <t>ATENDER DESPESAS COM DIARIAS A COLABORADOR EVENTUALPRE</t>
  </si>
  <si>
    <t>ATENDER DESPESAS COM SERVICOS DE COFFEE BREAK E KITS LANCHES - PRE/UFCG</t>
  </si>
  <si>
    <t>GESTAO DA UNIDADE-PROPEX</t>
  </si>
  <si>
    <t>ATENDER DESPESAS COM DIARIAS NACIONAIS PROPEX/COORD. DAS ATIVIDADES DE EXTENSAO XVI FIMUS</t>
  </si>
  <si>
    <t>ATENDER DESPESAS COM DIARIAS NACIONAISPROPEX/COORDENACAO DAS ATIVIDADES DE EXTENSAO</t>
  </si>
  <si>
    <t>DESPESA: 01-GESTAO ADMINISTRATIVA DA UNIDADE UNIDADE: F1-PROPEX/COORD. DAS ATIVIDADES DE EXTENSAO_______________(XVI FIMUS)</t>
  </si>
  <si>
    <t>ATENDER DESPESAS COM SERVICOS DE COFFEE BREAK E KITS LANCHES - PROPEX/UFCG</t>
  </si>
  <si>
    <t>ATENDER DESPESAS COM DIARIAS NACIONAISPRAC-COORDENACAO</t>
  </si>
  <si>
    <t>AQUISICAO DE PASSAGENS AEREAS NACIONAIS - CONTRATO 23/2023PRAC</t>
  </si>
  <si>
    <t>PASSAGENS PARA O EXTERIOR</t>
  </si>
  <si>
    <t>AQUISICAO DE PASSAGENS AEREAS NACIONAIS - CONTRATO 34/2023PRAC-COORDENACAO</t>
  </si>
  <si>
    <t>ATENDER DESPESAS A COLABORADOR EVENTUAL.PRAC CAC</t>
  </si>
  <si>
    <t>DESPESA: 01-GESTAO ADMINISTRATIVA DA UNIDADE UNIDADE: H1-SRH/COORDENACAO DAS ATIVIDADES DE RECURSOS HUMANOS PROCESSO Nº 23096.003628/2025-15________________________(45º PLENO DO FORGEPE)</t>
  </si>
  <si>
    <t>AQUISICAO DE PASSAGENS AEREAS NACIONAIS - CONTRATO 23/2023SRH</t>
  </si>
  <si>
    <t>ATENDER DESPESAS COM DIARIAS NACIONAIS - PU/UFCG.</t>
  </si>
  <si>
    <t>AQUISICAO DE PASSAGENS AEREAS NACIONAIS - CONTRATO 23/2023 - PU/UFCG.</t>
  </si>
  <si>
    <t>ATENDER DESPESAS COM SERVICOS DE COFFEE BREAK E KITS LANCHES - PU/UFCG</t>
  </si>
  <si>
    <t>ATENDER DESPESA COM INSCRICAO EM CURSO - SGPI-PU/UFCG.</t>
  </si>
  <si>
    <t>ATENDER DESPESA COM INSCRICOES EM EVENTOS - CFIS-PU/UFCG.</t>
  </si>
  <si>
    <t>Nome do Usuário: Nivaldo Silva Do Rego Junior
 Data de Extração: 13/2/2026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</si>
</sst>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"/>
    <numFmt numFmtId="165" formatCode="_([$R$ -416]* #,##0.00_);_([$R$ -416]* \(#,##0.00\);_([$R$ -416]* &quot;-&quot;??_);_(@_)"/>
    <numFmt numFmtId="166" formatCode="#,##0.00;\(#,##0.00\)"/>
  </numFmts>
  <fonts count="22">
    <font>
      <sz val="11"/>
      <color theme="1"/>
      <name val="Calibri"/>
      <scheme val="minor"/>
    </font>
    <font>
      <b/>
      <sz val="18"/>
      <color theme="1"/>
      <name val="Arial"/>
    </font>
    <font>
      <sz val="10"/>
      <color theme="1"/>
      <name val="Arial"/>
    </font>
    <font>
      <sz val="11"/>
      <color theme="1"/>
      <name val="Calibri"/>
    </font>
    <font>
      <b/>
      <u/>
      <sz val="12"/>
      <color theme="1"/>
      <name val="Arial"/>
    </font>
    <font>
      <b/>
      <sz val="10"/>
      <color rgb="FFFFFFFF"/>
      <name val="Arial"/>
    </font>
    <font>
      <b/>
      <sz val="10"/>
      <color theme="1"/>
      <name val="Arial"/>
    </font>
    <font>
      <b/>
      <sz val="12"/>
      <color theme="1"/>
      <name val="Arial"/>
    </font>
    <font>
      <b/>
      <sz val="10"/>
      <color theme="0"/>
      <name val="Arial"/>
    </font>
    <font>
      <sz val="12"/>
      <color theme="1"/>
      <name val="Arial"/>
    </font>
    <font>
      <sz val="11"/>
      <name val="Calibri"/>
    </font>
    <font>
      <sz val="8"/>
      <color rgb="FF000000"/>
      <name val="Verdana"/>
    </font>
    <font>
      <sz val="10"/>
      <color rgb="FF242424"/>
      <name val="Arial"/>
    </font>
    <font>
      <sz val="11"/>
      <color rgb="FF000000"/>
      <name val="Arial"/>
    </font>
    <font>
      <sz val="18"/>
      <color rgb="FF000000"/>
      <name val="Tahoma"/>
    </font>
    <font>
      <sz val="8"/>
      <color rgb="FF000000"/>
      <name val="Tahoma"/>
    </font>
    <font>
      <b/>
      <sz val="8"/>
      <color rgb="FFFFFFFF"/>
      <name val="Verdana"/>
    </font>
    <font>
      <sz val="8"/>
      <color rgb="FF25396E"/>
      <name val="Verdana"/>
    </font>
    <font>
      <b/>
      <sz val="8"/>
      <color rgb="FF25396E"/>
      <name val="Verdana"/>
    </font>
    <font>
      <strike/>
      <sz val="8"/>
      <color rgb="FFFF0000"/>
      <name val="Verdana"/>
    </font>
    <font>
      <sz val="11"/>
      <color theme="1"/>
      <name val="Calibri"/>
    </font>
    <font>
      <i/>
      <sz val="10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2479AB"/>
        <bgColor rgb="FF2479AB"/>
      </patternFill>
    </fill>
    <fill>
      <patternFill patternType="solid">
        <fgColor rgb="FFFFEA72"/>
        <bgColor rgb="FFFFEA72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E0D362"/>
      </left>
      <right style="thin">
        <color rgb="FF2479AB"/>
      </right>
      <top/>
      <bottom style="thin">
        <color rgb="FFE0D362"/>
      </bottom>
      <diagonal/>
    </border>
    <border>
      <left style="thin">
        <color rgb="FF2479AB"/>
      </left>
      <right/>
      <top style="thin">
        <color rgb="FF2479AB"/>
      </top>
      <bottom/>
      <diagonal/>
    </border>
    <border>
      <left/>
      <right/>
      <top style="thin">
        <color rgb="FF2479AB"/>
      </top>
      <bottom/>
      <diagonal/>
    </border>
    <border>
      <left style="thin">
        <color rgb="FFFFFFFF"/>
      </left>
      <right/>
      <top style="thin">
        <color rgb="FF2479AB"/>
      </top>
      <bottom/>
      <diagonal/>
    </border>
    <border>
      <left style="thin">
        <color rgb="FFFFFFFF"/>
      </left>
      <right/>
      <top style="thin">
        <color rgb="FF2479AB"/>
      </top>
      <bottom style="thin">
        <color rgb="FFFFFFFF"/>
      </bottom>
      <diagonal/>
    </border>
    <border>
      <left style="thin">
        <color rgb="FFFFFFFF"/>
      </left>
      <right style="thin">
        <color rgb="FF2479AB"/>
      </right>
      <top style="thin">
        <color rgb="FF2479AB"/>
      </top>
      <bottom style="thin">
        <color rgb="FFFFFFFF"/>
      </bottom>
      <diagonal/>
    </border>
    <border>
      <left style="thin">
        <color rgb="FF2479AB"/>
      </left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2479AB"/>
      </right>
      <top/>
      <bottom style="thin">
        <color rgb="FFFFFFFF"/>
      </bottom>
      <diagonal/>
    </border>
    <border>
      <left style="thin">
        <color rgb="FF2479AB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E0D362"/>
      </left>
      <right/>
      <top/>
      <bottom/>
      <diagonal/>
    </border>
    <border>
      <left style="thin">
        <color rgb="FFE0D362"/>
      </left>
      <right/>
      <top/>
      <bottom style="thin">
        <color rgb="FFE0D362"/>
      </bottom>
      <diagonal/>
    </border>
    <border>
      <left style="thin">
        <color rgb="FF2479AB"/>
      </left>
      <right/>
      <top/>
      <bottom style="thin">
        <color rgb="FFE0D362"/>
      </bottom>
      <diagonal/>
    </border>
    <border>
      <left/>
      <right/>
      <top/>
      <bottom style="thin">
        <color rgb="FFE0D362"/>
      </bottom>
      <diagonal/>
    </border>
    <border>
      <left style="thin">
        <color rgb="FF2479AB"/>
      </left>
      <right/>
      <top/>
      <bottom style="thin">
        <color rgb="FF2479AB"/>
      </bottom>
      <diagonal/>
    </border>
    <border>
      <left/>
      <right/>
      <top/>
      <bottom style="thin">
        <color rgb="FF2479AB"/>
      </bottom>
      <diagonal/>
    </border>
    <border>
      <left style="thin">
        <color rgb="FFE0D362"/>
      </left>
      <right/>
      <top/>
      <bottom style="thin">
        <color rgb="FF2479AB"/>
      </bottom>
      <diagonal/>
    </border>
    <border>
      <left style="thin">
        <color rgb="FFE0D362"/>
      </left>
      <right style="thin">
        <color rgb="FF2479AB"/>
      </right>
      <top/>
      <bottom style="thin">
        <color rgb="FF2479AB"/>
      </bottom>
      <diagonal/>
    </border>
    <border>
      <left/>
      <right style="thin">
        <color rgb="FF2479AB"/>
      </right>
      <top style="thin">
        <color rgb="FF2479AB"/>
      </top>
      <bottom style="thin">
        <color rgb="FFFFFFFF"/>
      </bottom>
      <diagonal/>
    </border>
    <border>
      <left style="thin">
        <color rgb="FFE0D362"/>
      </left>
      <right/>
      <top style="thin">
        <color rgb="FFE0D362"/>
      </top>
      <bottom style="thin">
        <color rgb="FFE0D362"/>
      </bottom>
      <diagonal/>
    </border>
    <border>
      <left/>
      <right style="thin">
        <color rgb="FFE0D362"/>
      </right>
      <top style="thin">
        <color rgb="FFE0D362"/>
      </top>
      <bottom style="thin">
        <color rgb="FFE0D362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2" borderId="1" xfId="0" applyFont="1" applyFill="1" applyBorder="1" applyAlignment="1">
      <alignment horizontal="left" vertical="center" wrapText="1" readingOrder="1"/>
    </xf>
    <xf numFmtId="4" fontId="6" fillId="0" borderId="2" xfId="0" applyNumberFormat="1" applyFont="1" applyBorder="1"/>
    <xf numFmtId="0" fontId="7" fillId="0" borderId="0" xfId="0" applyFont="1"/>
    <xf numFmtId="0" fontId="8" fillId="2" borderId="1" xfId="0" applyFont="1" applyFill="1" applyBorder="1" applyAlignment="1">
      <alignment horizontal="left" vertical="center" wrapText="1" readingOrder="1"/>
    </xf>
    <xf numFmtId="0" fontId="9" fillId="0" borderId="0" xfId="0" applyFont="1"/>
    <xf numFmtId="0" fontId="8" fillId="2" borderId="1" xfId="0" applyFont="1" applyFill="1" applyBorder="1" applyAlignment="1">
      <alignment horizontal="center" vertical="center" wrapText="1" readingOrder="1"/>
    </xf>
    <xf numFmtId="0" fontId="8" fillId="2" borderId="8" xfId="0" applyFont="1" applyFill="1" applyBorder="1" applyAlignment="1">
      <alignment horizontal="center" vertical="center" wrapText="1" readingOrder="1"/>
    </xf>
    <xf numFmtId="0" fontId="8" fillId="2" borderId="9" xfId="0" applyFont="1" applyFill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64" fontId="2" fillId="3" borderId="10" xfId="0" applyNumberFormat="1" applyFont="1" applyFill="1" applyBorder="1" applyAlignment="1">
      <alignment horizontal="right"/>
    </xf>
    <xf numFmtId="164" fontId="2" fillId="0" borderId="10" xfId="0" applyNumberFormat="1" applyFont="1" applyBorder="1" applyAlignment="1">
      <alignment horizontal="right"/>
    </xf>
    <xf numFmtId="164" fontId="2" fillId="4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right"/>
    </xf>
    <xf numFmtId="165" fontId="2" fillId="0" borderId="10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166" fontId="2" fillId="0" borderId="10" xfId="0" applyNumberFormat="1" applyFont="1" applyBorder="1" applyAlignment="1">
      <alignment horizontal="right"/>
    </xf>
    <xf numFmtId="164" fontId="8" fillId="2" borderId="9" xfId="0" applyNumberFormat="1" applyFont="1" applyFill="1" applyBorder="1" applyAlignment="1">
      <alignment horizontal="center" vertical="center" wrapText="1" readingOrder="1"/>
    </xf>
    <xf numFmtId="164" fontId="8" fillId="2" borderId="1" xfId="0" applyNumberFormat="1" applyFont="1" applyFill="1" applyBorder="1" applyAlignment="1">
      <alignment horizontal="center" vertical="center" wrapText="1" readingOrder="1"/>
    </xf>
    <xf numFmtId="165" fontId="8" fillId="2" borderId="1" xfId="0" applyNumberFormat="1" applyFont="1" applyFill="1" applyBorder="1" applyAlignment="1">
      <alignment horizontal="center" vertical="center" wrapText="1" readingOrder="1"/>
    </xf>
    <xf numFmtId="164" fontId="2" fillId="0" borderId="0" xfId="0" applyNumberFormat="1" applyFont="1"/>
    <xf numFmtId="4" fontId="11" fillId="5" borderId="11" xfId="0" applyNumberFormat="1" applyFont="1" applyFill="1" applyBorder="1" applyAlignment="1">
      <alignment horizontal="right"/>
    </xf>
    <xf numFmtId="0" fontId="12" fillId="0" borderId="0" xfId="0" applyFont="1"/>
    <xf numFmtId="166" fontId="8" fillId="2" borderId="1" xfId="0" applyNumberFormat="1" applyFont="1" applyFill="1" applyBorder="1" applyAlignment="1">
      <alignment horizontal="right" vertical="center" wrapText="1" readingOrder="1"/>
    </xf>
    <xf numFmtId="4" fontId="5" fillId="2" borderId="1" xfId="0" applyNumberFormat="1" applyFont="1" applyFill="1" applyBorder="1" applyAlignment="1">
      <alignment horizontal="center" vertical="center" wrapText="1" readingOrder="1"/>
    </xf>
    <xf numFmtId="4" fontId="2" fillId="0" borderId="0" xfId="0" applyNumberFormat="1" applyFont="1"/>
    <xf numFmtId="0" fontId="13" fillId="0" borderId="0" xfId="0" applyFont="1"/>
    <xf numFmtId="0" fontId="15" fillId="0" borderId="0" xfId="0" applyFont="1" applyAlignment="1">
      <alignment vertical="top"/>
    </xf>
    <xf numFmtId="0" fontId="16" fillId="6" borderId="15" xfId="0" applyFont="1" applyFill="1" applyBorder="1" applyAlignment="1">
      <alignment horizontal="left" vertical="top"/>
    </xf>
    <xf numFmtId="0" fontId="16" fillId="6" borderId="16" xfId="0" applyFont="1" applyFill="1" applyBorder="1" applyAlignment="1">
      <alignment horizontal="center"/>
    </xf>
    <xf numFmtId="0" fontId="16" fillId="6" borderId="19" xfId="0" applyFont="1" applyFill="1" applyBorder="1" applyAlignment="1">
      <alignment horizontal="left" vertical="top"/>
    </xf>
    <xf numFmtId="0" fontId="16" fillId="6" borderId="20" xfId="0" applyFont="1" applyFill="1" applyBorder="1" applyAlignment="1">
      <alignment horizontal="center"/>
    </xf>
    <xf numFmtId="0" fontId="17" fillId="5" borderId="24" xfId="0" applyFont="1" applyFill="1" applyBorder="1" applyAlignment="1">
      <alignment horizontal="left" vertical="top"/>
    </xf>
    <xf numFmtId="0" fontId="18" fillId="7" borderId="24" xfId="0" applyFont="1" applyFill="1" applyBorder="1" applyAlignment="1">
      <alignment horizontal="left" vertical="top"/>
    </xf>
    <xf numFmtId="4" fontId="18" fillId="7" borderId="11" xfId="0" applyNumberFormat="1" applyFont="1" applyFill="1" applyBorder="1" applyAlignment="1">
      <alignment horizontal="right" vertical="top"/>
    </xf>
    <xf numFmtId="0" fontId="11" fillId="5" borderId="11" xfId="0" applyFont="1" applyFill="1" applyBorder="1" applyAlignment="1">
      <alignment horizontal="right"/>
    </xf>
    <xf numFmtId="0" fontId="18" fillId="7" borderId="29" xfId="0" applyFont="1" applyFill="1" applyBorder="1" applyAlignment="1">
      <alignment horizontal="left" vertical="top"/>
    </xf>
    <xf numFmtId="4" fontId="18" fillId="7" borderId="30" xfId="0" applyNumberFormat="1" applyFont="1" applyFill="1" applyBorder="1" applyAlignment="1">
      <alignment horizontal="right" vertical="top"/>
    </xf>
    <xf numFmtId="0" fontId="16" fillId="6" borderId="19" xfId="0" applyFont="1" applyFill="1" applyBorder="1" applyAlignment="1">
      <alignment horizontal="center"/>
    </xf>
    <xf numFmtId="4" fontId="11" fillId="5" borderId="24" xfId="0" applyNumberFormat="1" applyFont="1" applyFill="1" applyBorder="1" applyAlignment="1">
      <alignment horizontal="right"/>
    </xf>
    <xf numFmtId="4" fontId="11" fillId="5" borderId="26" xfId="0" applyNumberFormat="1" applyFont="1" applyFill="1" applyBorder="1" applyAlignment="1">
      <alignment horizontal="right"/>
    </xf>
    <xf numFmtId="4" fontId="18" fillId="7" borderId="24" xfId="0" applyNumberFormat="1" applyFont="1" applyFill="1" applyBorder="1" applyAlignment="1">
      <alignment horizontal="right" vertical="top"/>
    </xf>
    <xf numFmtId="0" fontId="19" fillId="5" borderId="24" xfId="0" applyFont="1" applyFill="1" applyBorder="1" applyAlignment="1">
      <alignment horizontal="left" vertical="top"/>
    </xf>
    <xf numFmtId="4" fontId="19" fillId="5" borderId="24" xfId="0" applyNumberFormat="1" applyFont="1" applyFill="1" applyBorder="1" applyAlignment="1">
      <alignment horizontal="right"/>
    </xf>
    <xf numFmtId="4" fontId="19" fillId="5" borderId="11" xfId="0" applyNumberFormat="1" applyFont="1" applyFill="1" applyBorder="1" applyAlignment="1">
      <alignment horizontal="right"/>
    </xf>
    <xf numFmtId="4" fontId="18" fillId="7" borderId="29" xfId="0" applyNumberFormat="1" applyFont="1" applyFill="1" applyBorder="1" applyAlignment="1">
      <alignment horizontal="right" vertical="top"/>
    </xf>
    <xf numFmtId="164" fontId="20" fillId="0" borderId="0" xfId="0" applyNumberFormat="1" applyFont="1"/>
    <xf numFmtId="4" fontId="20" fillId="0" borderId="0" xfId="0" applyNumberFormat="1" applyFont="1"/>
    <xf numFmtId="0" fontId="1" fillId="0" borderId="0" xfId="0" applyFont="1" applyAlignment="1">
      <alignment horizontal="center" vertical="center"/>
    </xf>
    <xf numFmtId="0" fontId="0" fillId="0" borderId="0" xfId="0"/>
    <xf numFmtId="0" fontId="8" fillId="2" borderId="3" xfId="0" applyFont="1" applyFill="1" applyBorder="1" applyAlignment="1">
      <alignment horizontal="center" vertical="center" wrapText="1" readingOrder="1"/>
    </xf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5" fillId="2" borderId="3" xfId="0" applyFont="1" applyFill="1" applyBorder="1" applyAlignment="1">
      <alignment horizontal="center" vertical="center" wrapText="1" readingOrder="1"/>
    </xf>
    <xf numFmtId="0" fontId="10" fillId="0" borderId="7" xfId="0" applyFont="1" applyBorder="1"/>
    <xf numFmtId="164" fontId="2" fillId="0" borderId="4" xfId="0" applyNumberFormat="1" applyFont="1" applyBorder="1" applyAlignment="1">
      <alignment horizontal="left"/>
    </xf>
    <xf numFmtId="0" fontId="13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16" fillId="6" borderId="12" xfId="0" applyFont="1" applyFill="1" applyBorder="1" applyAlignment="1">
      <alignment horizontal="left" vertical="top"/>
    </xf>
    <xf numFmtId="0" fontId="10" fillId="0" borderId="13" xfId="0" applyFont="1" applyBorder="1"/>
    <xf numFmtId="0" fontId="10" fillId="0" borderId="17" xfId="0" applyFont="1" applyBorder="1"/>
    <xf numFmtId="0" fontId="10" fillId="0" borderId="21" xfId="0" applyFont="1" applyBorder="1"/>
    <xf numFmtId="0" fontId="10" fillId="0" borderId="22" xfId="0" applyFont="1" applyBorder="1"/>
    <xf numFmtId="0" fontId="16" fillId="6" borderId="14" xfId="0" applyFont="1" applyFill="1" applyBorder="1" applyAlignment="1">
      <alignment horizontal="left" vertical="top"/>
    </xf>
    <xf numFmtId="0" fontId="10" fillId="0" borderId="18" xfId="0" applyFont="1" applyBorder="1"/>
    <xf numFmtId="0" fontId="10" fillId="0" borderId="19" xfId="0" applyFont="1" applyBorder="1"/>
    <xf numFmtId="0" fontId="17" fillId="5" borderId="17" xfId="0" applyFont="1" applyFill="1" applyBorder="1" applyAlignment="1">
      <alignment horizontal="left" vertical="top"/>
    </xf>
    <xf numFmtId="0" fontId="10" fillId="0" borderId="25" xfId="0" applyFont="1" applyBorder="1"/>
    <xf numFmtId="0" fontId="18" fillId="7" borderId="24" xfId="0" applyFont="1" applyFill="1" applyBorder="1" applyAlignment="1">
      <alignment horizontal="left" vertical="top"/>
    </xf>
    <xf numFmtId="0" fontId="10" fillId="0" borderId="26" xfId="0" applyFont="1" applyBorder="1"/>
    <xf numFmtId="0" fontId="17" fillId="5" borderId="23" xfId="0" applyFont="1" applyFill="1" applyBorder="1" applyAlignment="1">
      <alignment horizontal="left" vertical="top"/>
    </xf>
    <xf numFmtId="0" fontId="10" fillId="0" borderId="23" xfId="0" applyFont="1" applyBorder="1"/>
    <xf numFmtId="0" fontId="10" fillId="0" borderId="24" xfId="0" applyFont="1" applyBorder="1"/>
    <xf numFmtId="0" fontId="18" fillId="7" borderId="27" xfId="0" applyFont="1" applyFill="1" applyBorder="1" applyAlignment="1">
      <alignment horizontal="left" vertical="top"/>
    </xf>
    <xf numFmtId="0" fontId="10" fillId="0" borderId="28" xfId="0" applyFont="1" applyBorder="1"/>
    <xf numFmtId="0" fontId="18" fillId="7" borderId="29" xfId="0" applyFont="1" applyFill="1" applyBorder="1" applyAlignment="1">
      <alignment horizontal="left" vertical="top"/>
    </xf>
    <xf numFmtId="0" fontId="17" fillId="5" borderId="32" xfId="0" applyFont="1" applyFill="1" applyBorder="1" applyAlignment="1">
      <alignment horizontal="center" vertical="top"/>
    </xf>
    <xf numFmtId="0" fontId="10" fillId="0" borderId="33" xfId="0" applyFont="1" applyBorder="1"/>
    <xf numFmtId="0" fontId="16" fillId="6" borderId="15" xfId="0" applyFont="1" applyFill="1" applyBorder="1" applyAlignment="1">
      <alignment horizontal="center"/>
    </xf>
    <xf numFmtId="0" fontId="10" fillId="0" borderId="3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76200</xdr:rowOff>
    </xdr:from>
    <xdr:ext cx="1628775" cy="447675"/>
    <xdr:pic>
      <xdr:nvPicPr>
        <xdr:cNvPr id="2" name="image1.jpg" descr="Logomarca com campina grande - ufc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76200</xdr:rowOff>
    </xdr:from>
    <xdr:ext cx="1628775" cy="447675"/>
    <xdr:pic>
      <xdr:nvPicPr>
        <xdr:cNvPr id="2" name="image1.jpg" title="Image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76200</xdr:rowOff>
    </xdr:from>
    <xdr:ext cx="1628775" cy="447675"/>
    <xdr:pic>
      <xdr:nvPicPr>
        <xdr:cNvPr id="2" name="image1.jpg" title="Imagem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76200</xdr:rowOff>
    </xdr:from>
    <xdr:ext cx="1628775" cy="447675"/>
    <xdr:pic>
      <xdr:nvPicPr>
        <xdr:cNvPr id="2" name="image1.jpg" title="Imagem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76200</xdr:rowOff>
    </xdr:from>
    <xdr:ext cx="1628775" cy="447675"/>
    <xdr:pic>
      <xdr:nvPicPr>
        <xdr:cNvPr id="2" name="image1.jpg" title="Imagem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76200</xdr:rowOff>
    </xdr:from>
    <xdr:ext cx="1628775" cy="447675"/>
    <xdr:pic>
      <xdr:nvPicPr>
        <xdr:cNvPr id="2" name="image1.jpg" title="Imagem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76200</xdr:rowOff>
    </xdr:from>
    <xdr:ext cx="1628775" cy="447675"/>
    <xdr:pic>
      <xdr:nvPicPr>
        <xdr:cNvPr id="2" name="image1.jpg" title="Imagem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76200</xdr:rowOff>
    </xdr:from>
    <xdr:ext cx="1628775" cy="447675"/>
    <xdr:pic>
      <xdr:nvPicPr>
        <xdr:cNvPr id="2" name="image1.jpg" title="Imagem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76200</xdr:rowOff>
    </xdr:from>
    <xdr:ext cx="1628775" cy="447675"/>
    <xdr:pic>
      <xdr:nvPicPr>
        <xdr:cNvPr id="2" name="image1.jpg" title="Imagem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selection sqref="A1:D1"/>
    </sheetView>
  </sheetViews>
  <sheetFormatPr defaultColWidth="14.44140625" defaultRowHeight="15" customHeight="1"/>
  <cols>
    <col min="1" max="1" width="23.6640625" customWidth="1"/>
    <col min="2" max="2" width="54.33203125" customWidth="1"/>
    <col min="3" max="4" width="22.6640625" customWidth="1"/>
    <col min="5" max="5" width="18.33203125" customWidth="1"/>
    <col min="6" max="6" width="19.109375" customWidth="1"/>
    <col min="7" max="27" width="9.109375" customWidth="1"/>
  </cols>
  <sheetData>
    <row r="1" spans="1:27" ht="22.8">
      <c r="A1" s="52"/>
      <c r="B1" s="53"/>
      <c r="C1" s="53"/>
      <c r="D1" s="53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6">
      <c r="A4" s="3" t="s">
        <v>0</v>
      </c>
      <c r="B4" s="3"/>
      <c r="C4" s="4" t="s">
        <v>1</v>
      </c>
      <c r="D4" s="5">
        <f>C18*0.75</f>
        <v>36067.89</v>
      </c>
      <c r="E4" s="1"/>
      <c r="F4" s="1"/>
      <c r="G4" s="1"/>
      <c r="H4" s="1"/>
      <c r="I4" s="1"/>
      <c r="J4" s="1"/>
      <c r="K4" s="1"/>
      <c r="L4" s="1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6">
      <c r="A5" s="6"/>
      <c r="B5" s="1"/>
      <c r="C5" s="7" t="s">
        <v>5</v>
      </c>
      <c r="D5" s="5">
        <f>D4-D18</f>
        <v>0</v>
      </c>
      <c r="E5" s="1"/>
      <c r="F5" s="1"/>
      <c r="G5" s="1"/>
      <c r="H5" s="1"/>
      <c r="I5" s="1"/>
      <c r="J5" s="1"/>
      <c r="K5" s="1"/>
      <c r="L5" s="1"/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6">
      <c r="A6" s="6" t="s">
        <v>6</v>
      </c>
      <c r="B6" s="8" t="s">
        <v>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6">
      <c r="A7" s="6" t="s">
        <v>11</v>
      </c>
      <c r="B7" s="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4">
      <c r="A8" s="54" t="s">
        <v>14</v>
      </c>
      <c r="B8" s="55"/>
      <c r="C8" s="58" t="s">
        <v>15</v>
      </c>
      <c r="D8" s="58" t="s">
        <v>16</v>
      </c>
      <c r="E8" s="58" t="s">
        <v>17</v>
      </c>
      <c r="F8" s="58" t="s">
        <v>18</v>
      </c>
      <c r="G8" s="1"/>
      <c r="H8" s="1"/>
      <c r="I8" s="1"/>
      <c r="J8" s="1"/>
      <c r="K8" s="1"/>
      <c r="L8" s="1"/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4">
      <c r="A9" s="56"/>
      <c r="B9" s="57"/>
      <c r="C9" s="59"/>
      <c r="D9" s="59"/>
      <c r="E9" s="59"/>
      <c r="F9" s="59"/>
      <c r="G9" s="1"/>
      <c r="H9" s="1"/>
      <c r="I9" s="1"/>
      <c r="J9" s="1"/>
      <c r="K9" s="1"/>
      <c r="L9" s="1"/>
      <c r="M9" s="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4">
      <c r="A10" s="9" t="s">
        <v>19</v>
      </c>
      <c r="B10" s="11" t="s">
        <v>20</v>
      </c>
      <c r="C10" s="56"/>
      <c r="D10" s="56"/>
      <c r="E10" s="56"/>
      <c r="F10" s="56"/>
      <c r="G10" s="1"/>
      <c r="H10" s="1"/>
      <c r="I10" s="1"/>
      <c r="J10" s="1"/>
      <c r="K10" s="1"/>
      <c r="L10" s="1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4">
      <c r="A11" s="12" t="s">
        <v>21</v>
      </c>
      <c r="B11" s="13" t="s">
        <v>22</v>
      </c>
      <c r="C11" s="14">
        <v>33350.519999999997</v>
      </c>
      <c r="D11" s="15">
        <f>C11*0.75</f>
        <v>25012.89</v>
      </c>
      <c r="E11" s="15">
        <v>20000</v>
      </c>
      <c r="F11" s="15">
        <f t="shared" ref="F11:F17" si="0">D11-E11</f>
        <v>5012.8899999999994</v>
      </c>
      <c r="G11" s="1"/>
      <c r="H11" s="1"/>
      <c r="I11" s="1"/>
      <c r="J11" s="1"/>
      <c r="K11" s="1"/>
      <c r="L11" s="1"/>
      <c r="M11" s="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4">
      <c r="A12" s="12">
        <v>339033</v>
      </c>
      <c r="B12" s="13" t="s">
        <v>25</v>
      </c>
      <c r="C12" s="17">
        <v>0</v>
      </c>
      <c r="D12" s="19">
        <v>0</v>
      </c>
      <c r="E12" s="19">
        <v>0</v>
      </c>
      <c r="F12" s="15">
        <f t="shared" si="0"/>
        <v>0</v>
      </c>
      <c r="G12" s="1"/>
      <c r="H12" s="1"/>
      <c r="I12" s="1"/>
      <c r="J12" s="1"/>
      <c r="K12" s="1"/>
      <c r="L12" s="1"/>
      <c r="M12" s="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4">
      <c r="A13" s="12">
        <v>339036</v>
      </c>
      <c r="B13" s="13" t="s">
        <v>26</v>
      </c>
      <c r="C13" s="17">
        <v>0</v>
      </c>
      <c r="D13" s="19"/>
      <c r="E13" s="19"/>
      <c r="F13" s="15">
        <f t="shared" si="0"/>
        <v>0</v>
      </c>
      <c r="G13" s="1"/>
      <c r="H13" s="1"/>
      <c r="I13" s="1"/>
      <c r="J13" s="1"/>
      <c r="K13" s="1"/>
      <c r="L13" s="1"/>
      <c r="M13" s="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4">
      <c r="A14" s="12">
        <v>339039</v>
      </c>
      <c r="B14" s="13" t="s">
        <v>27</v>
      </c>
      <c r="C14" s="17"/>
      <c r="D14" s="19"/>
      <c r="E14" s="19"/>
      <c r="F14" s="15">
        <f t="shared" si="0"/>
        <v>0</v>
      </c>
      <c r="G14" s="1"/>
      <c r="H14" s="1"/>
      <c r="I14" s="1"/>
      <c r="J14" s="1"/>
      <c r="K14" s="1"/>
      <c r="L14" s="1"/>
      <c r="M14" s="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4">
      <c r="A15" s="12">
        <v>339018</v>
      </c>
      <c r="B15" s="13" t="s">
        <v>28</v>
      </c>
      <c r="C15" s="17">
        <v>14740</v>
      </c>
      <c r="D15" s="19">
        <f>C15*0.75</f>
        <v>11055</v>
      </c>
      <c r="E15" s="19">
        <v>5000</v>
      </c>
      <c r="F15" s="15">
        <f t="shared" si="0"/>
        <v>6055</v>
      </c>
      <c r="G15" s="1"/>
      <c r="H15" s="1"/>
      <c r="I15" s="1"/>
      <c r="J15" s="1"/>
      <c r="K15" s="1"/>
      <c r="L15" s="1"/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4">
      <c r="A16" s="12"/>
      <c r="B16" s="13"/>
      <c r="C16" s="17"/>
      <c r="D16" s="19"/>
      <c r="E16" s="19"/>
      <c r="F16" s="15">
        <f t="shared" si="0"/>
        <v>0</v>
      </c>
      <c r="G16" s="1"/>
      <c r="H16" s="1"/>
      <c r="I16" s="1"/>
      <c r="J16" s="1"/>
      <c r="K16" s="1"/>
      <c r="L16" s="1"/>
      <c r="M16" s="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4">
      <c r="A17" s="12"/>
      <c r="B17" s="13"/>
      <c r="C17" s="17"/>
      <c r="D17" s="19"/>
      <c r="E17" s="19"/>
      <c r="F17" s="15">
        <f t="shared" si="0"/>
        <v>0</v>
      </c>
      <c r="G17" s="1"/>
      <c r="H17" s="1"/>
      <c r="I17" s="1"/>
      <c r="J17" s="1"/>
      <c r="K17" s="1"/>
      <c r="L17" s="1"/>
      <c r="M17" s="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4">
      <c r="A18" s="9" t="s">
        <v>30</v>
      </c>
      <c r="B18" s="9" t="s">
        <v>31</v>
      </c>
      <c r="C18" s="22">
        <f t="shared" ref="C18:F18" si="1">SUM(C11:C17)</f>
        <v>48090.52</v>
      </c>
      <c r="D18" s="22">
        <f t="shared" si="1"/>
        <v>36067.89</v>
      </c>
      <c r="E18" s="22">
        <f t="shared" si="1"/>
        <v>25000</v>
      </c>
      <c r="F18" s="22">
        <f t="shared" si="1"/>
        <v>11067.89</v>
      </c>
      <c r="G18" s="1"/>
      <c r="H18" s="1"/>
      <c r="I18" s="1"/>
      <c r="J18" s="1"/>
      <c r="K18" s="1"/>
      <c r="L18" s="1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4">
      <c r="A19" s="60" t="s">
        <v>32</v>
      </c>
      <c r="B19" s="55"/>
      <c r="C19" s="55"/>
      <c r="D19" s="55"/>
      <c r="E19" s="24"/>
      <c r="F19" s="24"/>
      <c r="G19" s="24"/>
      <c r="H19" s="24"/>
      <c r="I19" s="24"/>
      <c r="J19" s="24"/>
      <c r="K19" s="24"/>
      <c r="L19" s="24"/>
      <c r="M19" s="2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4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2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26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>
      <c r="A27" s="26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7">
    <mergeCell ref="F8:F10"/>
    <mergeCell ref="A19:D19"/>
    <mergeCell ref="A1:D1"/>
    <mergeCell ref="A8:B9"/>
    <mergeCell ref="C8:C10"/>
    <mergeCell ref="D8:D10"/>
    <mergeCell ref="E8:E10"/>
  </mergeCells>
  <pageMargins left="0.511811024" right="0.511811024" top="0.78740157499999996" bottom="0.78740157499999996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/>
  </sheetViews>
  <sheetFormatPr defaultColWidth="14.44140625" defaultRowHeight="15" customHeight="1"/>
  <cols>
    <col min="1" max="1" width="23.5546875" customWidth="1"/>
    <col min="2" max="2" width="54.33203125" customWidth="1"/>
    <col min="3" max="6" width="22.109375" customWidth="1"/>
    <col min="7" max="27" width="9.109375" customWidth="1"/>
  </cols>
  <sheetData>
    <row r="1" spans="1:27" ht="22.8">
      <c r="A1" s="52"/>
      <c r="B1" s="53"/>
      <c r="C1" s="53"/>
      <c r="D1" s="53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6">
      <c r="A4" s="3" t="s">
        <v>0</v>
      </c>
      <c r="B4" s="3"/>
      <c r="C4" s="4" t="s">
        <v>3</v>
      </c>
      <c r="D4" s="5">
        <f>C18*0.75</f>
        <v>94840.920000000013</v>
      </c>
      <c r="E4" s="1"/>
      <c r="F4" s="1"/>
      <c r="G4" s="1"/>
      <c r="H4" s="1"/>
      <c r="I4" s="1"/>
      <c r="J4" s="1"/>
      <c r="K4" s="1"/>
      <c r="L4" s="1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6">
      <c r="A5" s="6"/>
      <c r="B5" s="1"/>
      <c r="C5" s="7" t="s">
        <v>5</v>
      </c>
      <c r="D5" s="5">
        <f>D4-D18</f>
        <v>0</v>
      </c>
      <c r="E5" s="1"/>
      <c r="F5" s="1"/>
      <c r="G5" s="1"/>
      <c r="H5" s="1"/>
      <c r="I5" s="1"/>
      <c r="J5" s="1"/>
      <c r="K5" s="1"/>
      <c r="L5" s="1"/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6">
      <c r="A6" s="6" t="s">
        <v>8</v>
      </c>
      <c r="B6" s="1" t="s">
        <v>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6">
      <c r="A7" s="6" t="s">
        <v>13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4">
      <c r="A8" s="54" t="s">
        <v>14</v>
      </c>
      <c r="B8" s="55"/>
      <c r="C8" s="58" t="s">
        <v>15</v>
      </c>
      <c r="D8" s="58" t="s">
        <v>16</v>
      </c>
      <c r="E8" s="58" t="s">
        <v>17</v>
      </c>
      <c r="F8" s="58" t="s">
        <v>18</v>
      </c>
      <c r="G8" s="1"/>
      <c r="H8" s="1"/>
      <c r="I8" s="1"/>
      <c r="J8" s="1"/>
      <c r="K8" s="1"/>
      <c r="L8" s="1"/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4">
      <c r="A9" s="56"/>
      <c r="B9" s="57"/>
      <c r="C9" s="59"/>
      <c r="D9" s="59"/>
      <c r="E9" s="59"/>
      <c r="F9" s="59"/>
      <c r="G9" s="1"/>
      <c r="H9" s="1"/>
      <c r="I9" s="1"/>
      <c r="J9" s="1"/>
      <c r="K9" s="1"/>
      <c r="L9" s="1"/>
      <c r="M9" s="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4">
      <c r="A10" s="9" t="s">
        <v>19</v>
      </c>
      <c r="B10" s="10" t="s">
        <v>20</v>
      </c>
      <c r="C10" s="56"/>
      <c r="D10" s="56"/>
      <c r="E10" s="56"/>
      <c r="F10" s="56"/>
      <c r="G10" s="1"/>
      <c r="H10" s="1"/>
      <c r="I10" s="1"/>
      <c r="J10" s="1"/>
      <c r="K10" s="1"/>
      <c r="L10" s="1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4">
      <c r="A11" s="12" t="s">
        <v>21</v>
      </c>
      <c r="B11" s="13" t="s">
        <v>22</v>
      </c>
      <c r="C11" s="16">
        <v>46436.83</v>
      </c>
      <c r="D11" s="15">
        <f t="shared" ref="D11:D12" si="0">C11*0.75</f>
        <v>34827.622499999998</v>
      </c>
      <c r="E11" s="15">
        <v>15000</v>
      </c>
      <c r="F11" s="18">
        <f t="shared" ref="F11:F17" si="1">D11-E11</f>
        <v>19827.622499999998</v>
      </c>
      <c r="G11" s="1"/>
      <c r="H11" s="1"/>
      <c r="I11" s="1"/>
      <c r="J11" s="1"/>
      <c r="K11" s="1"/>
      <c r="L11" s="1"/>
      <c r="M11" s="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4">
      <c r="A12" s="12">
        <v>339033</v>
      </c>
      <c r="B12" s="13" t="s">
        <v>25</v>
      </c>
      <c r="C12" s="16">
        <v>77663.63</v>
      </c>
      <c r="D12" s="15">
        <f t="shared" si="0"/>
        <v>58247.722500000003</v>
      </c>
      <c r="E12" s="19">
        <f>25000+5215.17</f>
        <v>30215.17</v>
      </c>
      <c r="F12" s="18">
        <f t="shared" si="1"/>
        <v>28032.552500000005</v>
      </c>
      <c r="G12" s="1"/>
      <c r="H12" s="1"/>
      <c r="I12" s="1"/>
      <c r="J12" s="1"/>
      <c r="K12" s="1"/>
      <c r="L12" s="1"/>
      <c r="M12" s="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4">
      <c r="A13" s="12">
        <v>339036</v>
      </c>
      <c r="B13" s="13" t="s">
        <v>26</v>
      </c>
      <c r="C13" s="16">
        <v>0</v>
      </c>
      <c r="D13" s="19"/>
      <c r="E13" s="19"/>
      <c r="F13" s="18">
        <f t="shared" si="1"/>
        <v>0</v>
      </c>
      <c r="G13" s="1"/>
      <c r="H13" s="1"/>
      <c r="I13" s="1"/>
      <c r="J13" s="1"/>
      <c r="K13" s="1"/>
      <c r="L13" s="1"/>
      <c r="M13" s="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4">
      <c r="A14" s="12">
        <v>339039</v>
      </c>
      <c r="B14" s="13" t="s">
        <v>27</v>
      </c>
      <c r="C14" s="16">
        <v>2354.1</v>
      </c>
      <c r="D14" s="15">
        <f>C14*0.75</f>
        <v>1765.5749999999998</v>
      </c>
      <c r="E14" s="19"/>
      <c r="F14" s="18">
        <f t="shared" si="1"/>
        <v>1765.5749999999998</v>
      </c>
      <c r="G14" s="1"/>
      <c r="H14" s="1"/>
      <c r="I14" s="1"/>
      <c r="J14" s="1"/>
      <c r="K14" s="1"/>
      <c r="L14" s="1"/>
      <c r="M14" s="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4">
      <c r="A15" s="12">
        <v>339092</v>
      </c>
      <c r="B15" s="13" t="s">
        <v>29</v>
      </c>
      <c r="C15" s="16"/>
      <c r="D15" s="19">
        <v>0</v>
      </c>
      <c r="E15" s="19"/>
      <c r="F15" s="18">
        <f t="shared" si="1"/>
        <v>0</v>
      </c>
      <c r="G15" s="1"/>
      <c r="H15" s="1"/>
      <c r="I15" s="1"/>
      <c r="J15" s="1"/>
      <c r="K15" s="1"/>
      <c r="L15" s="1"/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4">
      <c r="A16" s="12"/>
      <c r="B16" s="13"/>
      <c r="C16" s="16"/>
      <c r="D16" s="19"/>
      <c r="E16" s="19"/>
      <c r="F16" s="18">
        <f t="shared" si="1"/>
        <v>0</v>
      </c>
      <c r="G16" s="1"/>
      <c r="H16" s="1"/>
      <c r="I16" s="1"/>
      <c r="J16" s="1"/>
      <c r="K16" s="1"/>
      <c r="L16" s="1"/>
      <c r="M16" s="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4">
      <c r="A17" s="12"/>
      <c r="B17" s="13"/>
      <c r="C17" s="16"/>
      <c r="D17" s="19"/>
      <c r="E17" s="19"/>
      <c r="F17" s="18">
        <f t="shared" si="1"/>
        <v>0</v>
      </c>
      <c r="G17" s="1"/>
      <c r="H17" s="1"/>
      <c r="I17" s="1"/>
      <c r="J17" s="1"/>
      <c r="K17" s="1"/>
      <c r="L17" s="1"/>
      <c r="M17" s="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4">
      <c r="A18" s="11" t="s">
        <v>30</v>
      </c>
      <c r="B18" s="11" t="s">
        <v>31</v>
      </c>
      <c r="C18" s="21">
        <f t="shared" ref="C18:F18" si="2">SUM(C11:C17)</f>
        <v>126454.56000000001</v>
      </c>
      <c r="D18" s="21">
        <f t="shared" si="2"/>
        <v>94840.92</v>
      </c>
      <c r="E18" s="22">
        <f t="shared" si="2"/>
        <v>45215.17</v>
      </c>
      <c r="F18" s="23">
        <f t="shared" si="2"/>
        <v>49625.75</v>
      </c>
      <c r="G18" s="1"/>
      <c r="H18" s="1"/>
      <c r="I18" s="1"/>
      <c r="J18" s="1"/>
      <c r="K18" s="1"/>
      <c r="L18" s="1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4">
      <c r="A19" s="60" t="s">
        <v>32</v>
      </c>
      <c r="B19" s="55"/>
      <c r="C19" s="55"/>
      <c r="D19" s="55"/>
      <c r="E19" s="24"/>
      <c r="F19" s="24"/>
      <c r="G19" s="24"/>
      <c r="H19" s="24"/>
      <c r="I19" s="24"/>
      <c r="J19" s="24"/>
      <c r="K19" s="24"/>
      <c r="L19" s="24"/>
      <c r="M19" s="2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4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2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26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>
      <c r="A27" s="26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7">
    <mergeCell ref="F8:F10"/>
    <mergeCell ref="A19:D19"/>
    <mergeCell ref="A1:D1"/>
    <mergeCell ref="A8:B9"/>
    <mergeCell ref="C8:C10"/>
    <mergeCell ref="D8:D10"/>
    <mergeCell ref="E8:E10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workbookViewId="0"/>
  </sheetViews>
  <sheetFormatPr defaultColWidth="14.44140625" defaultRowHeight="15" customHeight="1"/>
  <cols>
    <col min="1" max="1" width="23.5546875" customWidth="1"/>
    <col min="2" max="2" width="54.33203125" customWidth="1"/>
    <col min="3" max="4" width="23.88671875" customWidth="1"/>
    <col min="5" max="6" width="22.109375" customWidth="1"/>
    <col min="7" max="27" width="9.109375" customWidth="1"/>
  </cols>
  <sheetData>
    <row r="1" spans="1:27" ht="22.8">
      <c r="A1" s="52"/>
      <c r="B1" s="53"/>
      <c r="C1" s="53"/>
      <c r="D1" s="53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6">
      <c r="A4" s="3" t="s">
        <v>0</v>
      </c>
      <c r="B4" s="3"/>
      <c r="C4" s="4" t="s">
        <v>2</v>
      </c>
      <c r="D4" s="5">
        <f>C18*0.75</f>
        <v>26435.3325</v>
      </c>
      <c r="E4" s="1"/>
      <c r="F4" s="1"/>
      <c r="G4" s="1"/>
      <c r="H4" s="1"/>
      <c r="I4" s="1"/>
      <c r="J4" s="1"/>
      <c r="K4" s="1"/>
      <c r="L4" s="1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6">
      <c r="A5" s="6"/>
      <c r="B5" s="1"/>
      <c r="C5" s="7" t="s">
        <v>5</v>
      </c>
      <c r="D5" s="5">
        <f>D4-D18</f>
        <v>0</v>
      </c>
      <c r="E5" s="1"/>
      <c r="F5" s="1"/>
      <c r="G5" s="1"/>
      <c r="H5" s="1"/>
      <c r="I5" s="1"/>
      <c r="J5" s="1"/>
      <c r="K5" s="1"/>
      <c r="L5" s="1"/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6">
      <c r="A6" s="6" t="s">
        <v>6</v>
      </c>
      <c r="B6" s="1" t="s">
        <v>10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6">
      <c r="A7" s="6" t="s">
        <v>12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4">
      <c r="A8" s="54" t="s">
        <v>14</v>
      </c>
      <c r="B8" s="55"/>
      <c r="C8" s="58" t="s">
        <v>15</v>
      </c>
      <c r="D8" s="58" t="s">
        <v>16</v>
      </c>
      <c r="E8" s="58" t="s">
        <v>17</v>
      </c>
      <c r="F8" s="58" t="s">
        <v>18</v>
      </c>
      <c r="G8" s="1"/>
      <c r="H8" s="1"/>
      <c r="I8" s="1"/>
      <c r="J8" s="1"/>
      <c r="K8" s="1"/>
      <c r="L8" s="1"/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4">
      <c r="A9" s="56"/>
      <c r="B9" s="57"/>
      <c r="C9" s="59"/>
      <c r="D9" s="59"/>
      <c r="E9" s="59"/>
      <c r="F9" s="59"/>
      <c r="G9" s="1"/>
      <c r="H9" s="1"/>
      <c r="I9" s="1"/>
      <c r="J9" s="1"/>
      <c r="K9" s="1"/>
      <c r="L9" s="1"/>
      <c r="M9" s="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4">
      <c r="A10" s="9" t="s">
        <v>19</v>
      </c>
      <c r="B10" s="10" t="s">
        <v>20</v>
      </c>
      <c r="C10" s="56"/>
      <c r="D10" s="56"/>
      <c r="E10" s="56"/>
      <c r="F10" s="56"/>
      <c r="G10" s="1"/>
      <c r="H10" s="1"/>
      <c r="I10" s="1"/>
      <c r="J10" s="1"/>
      <c r="K10" s="1"/>
      <c r="L10" s="1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4">
      <c r="A11" s="12" t="s">
        <v>21</v>
      </c>
      <c r="B11" s="13" t="s">
        <v>22</v>
      </c>
      <c r="C11" s="14">
        <v>19575.05</v>
      </c>
      <c r="D11" s="15">
        <f>D4-D12</f>
        <v>16435.3325</v>
      </c>
      <c r="E11" s="15">
        <v>0</v>
      </c>
      <c r="F11" s="15">
        <f t="shared" ref="F11:F17" si="0">D11-E11</f>
        <v>16435.3325</v>
      </c>
      <c r="G11" s="1"/>
      <c r="H11" s="1"/>
      <c r="I11" s="1"/>
      <c r="J11" s="1"/>
      <c r="K11" s="1"/>
      <c r="L11" s="1"/>
      <c r="M11" s="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4">
      <c r="A12" s="12">
        <v>339033</v>
      </c>
      <c r="B12" s="13" t="s">
        <v>25</v>
      </c>
      <c r="C12" s="17">
        <v>15672.06</v>
      </c>
      <c r="D12" s="19">
        <v>10000</v>
      </c>
      <c r="E12" s="19">
        <v>0</v>
      </c>
      <c r="F12" s="15">
        <f t="shared" si="0"/>
        <v>10000</v>
      </c>
      <c r="G12" s="1"/>
      <c r="H12" s="1"/>
      <c r="I12" s="1"/>
      <c r="J12" s="1"/>
      <c r="K12" s="1"/>
      <c r="L12" s="1"/>
      <c r="M12" s="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4">
      <c r="A13" s="12">
        <v>339036</v>
      </c>
      <c r="B13" s="13" t="s">
        <v>26</v>
      </c>
      <c r="C13" s="17">
        <v>0</v>
      </c>
      <c r="D13" s="19"/>
      <c r="E13" s="19"/>
      <c r="F13" s="15">
        <f t="shared" si="0"/>
        <v>0</v>
      </c>
      <c r="G13" s="1"/>
      <c r="H13" s="1"/>
      <c r="I13" s="1"/>
      <c r="J13" s="1"/>
      <c r="K13" s="1"/>
      <c r="L13" s="1"/>
      <c r="M13" s="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4">
      <c r="A14" s="12">
        <v>339039</v>
      </c>
      <c r="B14" s="13" t="s">
        <v>27</v>
      </c>
      <c r="C14" s="17">
        <v>0</v>
      </c>
      <c r="D14" s="19"/>
      <c r="E14" s="19"/>
      <c r="F14" s="15">
        <f t="shared" si="0"/>
        <v>0</v>
      </c>
      <c r="G14" s="1"/>
      <c r="H14" s="1"/>
      <c r="I14" s="1"/>
      <c r="J14" s="1"/>
      <c r="K14" s="1"/>
      <c r="L14" s="1"/>
      <c r="M14" s="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4">
      <c r="A15" s="12"/>
      <c r="B15" s="13"/>
      <c r="C15" s="17"/>
      <c r="D15" s="19"/>
      <c r="E15" s="19">
        <v>0</v>
      </c>
      <c r="F15" s="15">
        <f t="shared" si="0"/>
        <v>0</v>
      </c>
      <c r="G15" s="1"/>
      <c r="H15" s="1"/>
      <c r="I15" s="1"/>
      <c r="J15" s="1"/>
      <c r="K15" s="1"/>
      <c r="L15" s="1"/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4">
      <c r="A16" s="12"/>
      <c r="B16" s="13"/>
      <c r="C16" s="17"/>
      <c r="D16" s="19"/>
      <c r="E16" s="19"/>
      <c r="F16" s="15">
        <f t="shared" si="0"/>
        <v>0</v>
      </c>
      <c r="G16" s="1"/>
      <c r="H16" s="1"/>
      <c r="I16" s="1"/>
      <c r="J16" s="1"/>
      <c r="K16" s="1"/>
      <c r="L16" s="1"/>
      <c r="M16" s="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4">
      <c r="A17" s="12"/>
      <c r="B17" s="13"/>
      <c r="C17" s="17"/>
      <c r="D17" s="19"/>
      <c r="E17" s="19"/>
      <c r="F17" s="15">
        <f t="shared" si="0"/>
        <v>0</v>
      </c>
      <c r="G17" s="1"/>
      <c r="H17" s="1"/>
      <c r="I17" s="1"/>
      <c r="J17" s="1"/>
      <c r="K17" s="1"/>
      <c r="L17" s="1"/>
      <c r="M17" s="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4">
      <c r="A18" s="11" t="s">
        <v>30</v>
      </c>
      <c r="B18" s="11" t="s">
        <v>31</v>
      </c>
      <c r="C18" s="21">
        <f t="shared" ref="C18:F18" si="1">SUM(C11:C17)</f>
        <v>35247.11</v>
      </c>
      <c r="D18" s="21">
        <f t="shared" si="1"/>
        <v>26435.3325</v>
      </c>
      <c r="E18" s="22">
        <f t="shared" si="1"/>
        <v>0</v>
      </c>
      <c r="F18" s="22">
        <f t="shared" si="1"/>
        <v>26435.3325</v>
      </c>
      <c r="G18" s="1"/>
      <c r="H18" s="1"/>
      <c r="I18" s="1"/>
      <c r="J18" s="1"/>
      <c r="K18" s="1"/>
      <c r="L18" s="1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4">
      <c r="A19" s="60" t="s">
        <v>32</v>
      </c>
      <c r="B19" s="55"/>
      <c r="C19" s="55"/>
      <c r="D19" s="55"/>
      <c r="E19" s="24"/>
      <c r="F19" s="24"/>
      <c r="G19" s="24"/>
      <c r="H19" s="24"/>
      <c r="I19" s="24"/>
      <c r="J19" s="24"/>
      <c r="K19" s="24"/>
      <c r="L19" s="24"/>
      <c r="M19" s="2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4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2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26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>
      <c r="A27" s="26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7">
    <mergeCell ref="F8:F10"/>
    <mergeCell ref="A19:D19"/>
    <mergeCell ref="A1:D1"/>
    <mergeCell ref="A8:B9"/>
    <mergeCell ref="C8:C10"/>
    <mergeCell ref="D8:D10"/>
    <mergeCell ref="E8:E10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0"/>
  <sheetViews>
    <sheetView workbookViewId="0"/>
  </sheetViews>
  <sheetFormatPr defaultColWidth="14.44140625" defaultRowHeight="15" customHeight="1"/>
  <cols>
    <col min="1" max="1" width="23.5546875" customWidth="1"/>
    <col min="2" max="2" width="54.33203125" customWidth="1"/>
    <col min="3" max="4" width="23" customWidth="1"/>
    <col min="5" max="6" width="22.109375" customWidth="1"/>
    <col min="7" max="27" width="9.109375" customWidth="1"/>
  </cols>
  <sheetData>
    <row r="1" spans="1:27" ht="22.8">
      <c r="A1" s="52"/>
      <c r="B1" s="53"/>
      <c r="C1" s="53"/>
      <c r="D1" s="53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6">
      <c r="A4" s="3" t="s">
        <v>0</v>
      </c>
      <c r="B4" s="3"/>
      <c r="C4" s="4" t="s">
        <v>4</v>
      </c>
      <c r="D4" s="5">
        <f>C18*0.75</f>
        <v>44788.875</v>
      </c>
      <c r="E4" s="1"/>
      <c r="F4" s="1"/>
      <c r="G4" s="1"/>
      <c r="H4" s="1"/>
      <c r="I4" s="1"/>
      <c r="J4" s="1"/>
      <c r="K4" s="1"/>
      <c r="L4" s="1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6">
      <c r="A5" s="6"/>
      <c r="B5" s="1"/>
      <c r="C5" s="7" t="s">
        <v>5</v>
      </c>
      <c r="D5" s="5">
        <f>D4-D18</f>
        <v>0</v>
      </c>
      <c r="E5" s="1"/>
      <c r="F5" s="1"/>
      <c r="G5" s="1"/>
      <c r="H5" s="1"/>
      <c r="I5" s="1"/>
      <c r="J5" s="1"/>
      <c r="K5" s="1"/>
      <c r="L5" s="1"/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6">
      <c r="A6" s="6" t="s">
        <v>6</v>
      </c>
      <c r="B6" s="1" t="s">
        <v>23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6">
      <c r="A7" s="6" t="s">
        <v>24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4">
      <c r="A8" s="54" t="s">
        <v>14</v>
      </c>
      <c r="B8" s="55"/>
      <c r="C8" s="58" t="s">
        <v>15</v>
      </c>
      <c r="D8" s="58" t="s">
        <v>16</v>
      </c>
      <c r="E8" s="58" t="s">
        <v>17</v>
      </c>
      <c r="F8" s="58" t="s">
        <v>18</v>
      </c>
      <c r="G8" s="1"/>
      <c r="H8" s="1"/>
      <c r="I8" s="1"/>
      <c r="J8" s="1"/>
      <c r="K8" s="1"/>
      <c r="L8" s="1"/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4">
      <c r="A9" s="56"/>
      <c r="B9" s="57"/>
      <c r="C9" s="59"/>
      <c r="D9" s="59"/>
      <c r="E9" s="59"/>
      <c r="F9" s="59"/>
      <c r="G9" s="1"/>
      <c r="H9" s="1"/>
      <c r="I9" s="1"/>
      <c r="J9" s="1"/>
      <c r="K9" s="1"/>
      <c r="L9" s="1"/>
      <c r="M9" s="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4">
      <c r="A10" s="9" t="s">
        <v>19</v>
      </c>
      <c r="B10" s="10" t="s">
        <v>20</v>
      </c>
      <c r="C10" s="56"/>
      <c r="D10" s="56"/>
      <c r="E10" s="56"/>
      <c r="F10" s="56"/>
      <c r="G10" s="1"/>
      <c r="H10" s="1"/>
      <c r="I10" s="1"/>
      <c r="J10" s="1"/>
      <c r="K10" s="1"/>
      <c r="L10" s="1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4">
      <c r="A11" s="12" t="s">
        <v>21</v>
      </c>
      <c r="B11" s="13" t="s">
        <v>22</v>
      </c>
      <c r="C11" s="14">
        <v>22733.45</v>
      </c>
      <c r="D11" s="15">
        <f>D4*0.5</f>
        <v>22394.4375</v>
      </c>
      <c r="E11" s="15">
        <v>10000</v>
      </c>
      <c r="F11" s="20">
        <f t="shared" ref="F11:F17" si="0">D11-E11</f>
        <v>12394.4375</v>
      </c>
      <c r="G11" s="1"/>
      <c r="H11" s="1"/>
      <c r="I11" s="1"/>
      <c r="J11" s="1"/>
      <c r="K11" s="1"/>
      <c r="L11" s="1"/>
      <c r="M11" s="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4">
      <c r="A12" s="12">
        <v>339033</v>
      </c>
      <c r="B12" s="13" t="s">
        <v>25</v>
      </c>
      <c r="C12" s="17">
        <v>36985.050000000003</v>
      </c>
      <c r="D12" s="19">
        <f>D4*0.5</f>
        <v>22394.4375</v>
      </c>
      <c r="E12" s="15">
        <v>10000</v>
      </c>
      <c r="F12" s="20">
        <f t="shared" si="0"/>
        <v>12394.4375</v>
      </c>
      <c r="G12" s="1"/>
      <c r="H12" s="1"/>
      <c r="I12" s="1"/>
      <c r="J12" s="1"/>
      <c r="K12" s="1"/>
      <c r="L12" s="1"/>
      <c r="M12" s="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4">
      <c r="A13" s="12">
        <v>339036</v>
      </c>
      <c r="B13" s="13" t="s">
        <v>26</v>
      </c>
      <c r="C13" s="17">
        <v>0</v>
      </c>
      <c r="D13" s="19"/>
      <c r="E13" s="15">
        <v>0</v>
      </c>
      <c r="F13" s="20">
        <f t="shared" si="0"/>
        <v>0</v>
      </c>
      <c r="G13" s="1"/>
      <c r="H13" s="1"/>
      <c r="I13" s="1"/>
      <c r="J13" s="1"/>
      <c r="K13" s="1"/>
      <c r="L13" s="1"/>
      <c r="M13" s="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4">
      <c r="A14" s="12">
        <v>339039</v>
      </c>
      <c r="B14" s="13" t="s">
        <v>27</v>
      </c>
      <c r="C14" s="17">
        <v>0</v>
      </c>
      <c r="D14" s="19"/>
      <c r="E14" s="15">
        <v>10401.9</v>
      </c>
      <c r="F14" s="20">
        <f t="shared" si="0"/>
        <v>-10401.9</v>
      </c>
      <c r="G14" s="1"/>
      <c r="H14" s="1"/>
      <c r="I14" s="1"/>
      <c r="J14" s="1"/>
      <c r="K14" s="1"/>
      <c r="L14" s="1"/>
      <c r="M14" s="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4">
      <c r="A15" s="12"/>
      <c r="B15" s="13"/>
      <c r="C15" s="17"/>
      <c r="D15" s="19"/>
      <c r="E15" s="15"/>
      <c r="F15" s="20">
        <f t="shared" si="0"/>
        <v>0</v>
      </c>
      <c r="G15" s="1"/>
      <c r="H15" s="1"/>
      <c r="I15" s="1"/>
      <c r="J15" s="1"/>
      <c r="K15" s="1"/>
      <c r="L15" s="1"/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4">
      <c r="A16" s="12"/>
      <c r="B16" s="13"/>
      <c r="C16" s="17"/>
      <c r="D16" s="25"/>
      <c r="E16" s="15"/>
      <c r="F16" s="20">
        <f t="shared" si="0"/>
        <v>0</v>
      </c>
      <c r="G16" s="1"/>
      <c r="H16" s="1"/>
      <c r="I16" s="1"/>
      <c r="J16" s="1"/>
      <c r="K16" s="1"/>
      <c r="L16" s="1"/>
      <c r="M16" s="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4">
      <c r="A17" s="12"/>
      <c r="B17" s="13"/>
      <c r="C17" s="17"/>
      <c r="D17" s="19"/>
      <c r="E17" s="19"/>
      <c r="F17" s="20">
        <f t="shared" si="0"/>
        <v>0</v>
      </c>
      <c r="G17" s="1"/>
      <c r="H17" s="1"/>
      <c r="I17" s="1"/>
      <c r="J17" s="1"/>
      <c r="K17" s="1"/>
      <c r="L17" s="1"/>
      <c r="M17" s="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4">
      <c r="A18" s="11" t="s">
        <v>30</v>
      </c>
      <c r="B18" s="11" t="s">
        <v>31</v>
      </c>
      <c r="C18" s="21">
        <f t="shared" ref="C18:F18" si="1">SUM(C11:C17)</f>
        <v>59718.5</v>
      </c>
      <c r="D18" s="21">
        <f t="shared" si="1"/>
        <v>44788.875</v>
      </c>
      <c r="E18" s="22">
        <f t="shared" si="1"/>
        <v>30401.9</v>
      </c>
      <c r="F18" s="27">
        <f t="shared" si="1"/>
        <v>14386.975</v>
      </c>
      <c r="G18" s="1"/>
      <c r="H18" s="1"/>
      <c r="I18" s="1"/>
      <c r="J18" s="1"/>
      <c r="K18" s="1"/>
      <c r="L18" s="1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4">
      <c r="A19" s="60" t="s">
        <v>32</v>
      </c>
      <c r="B19" s="55"/>
      <c r="C19" s="55"/>
      <c r="D19" s="55"/>
      <c r="E19" s="24"/>
      <c r="F19" s="24"/>
      <c r="G19" s="24"/>
      <c r="H19" s="24"/>
      <c r="I19" s="24"/>
      <c r="J19" s="24"/>
      <c r="K19" s="24"/>
      <c r="L19" s="24"/>
      <c r="M19" s="2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4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2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26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>
      <c r="A27" s="26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7">
    <mergeCell ref="F8:F10"/>
    <mergeCell ref="A19:D19"/>
    <mergeCell ref="A1:D1"/>
    <mergeCell ref="A8:B9"/>
    <mergeCell ref="C8:C10"/>
    <mergeCell ref="D8:D10"/>
    <mergeCell ref="E8:E10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0"/>
  <sheetViews>
    <sheetView workbookViewId="0"/>
  </sheetViews>
  <sheetFormatPr defaultColWidth="14.44140625" defaultRowHeight="15" customHeight="1"/>
  <cols>
    <col min="1" max="1" width="23.44140625" customWidth="1"/>
    <col min="2" max="2" width="54.33203125" customWidth="1"/>
    <col min="3" max="4" width="22.6640625" customWidth="1"/>
    <col min="5" max="6" width="22.109375" customWidth="1"/>
    <col min="7" max="27" width="9.109375" customWidth="1"/>
  </cols>
  <sheetData>
    <row r="1" spans="1:27" ht="22.8">
      <c r="A1" s="52"/>
      <c r="B1" s="53"/>
      <c r="C1" s="53"/>
      <c r="D1" s="53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6">
      <c r="A4" s="3" t="s">
        <v>0</v>
      </c>
      <c r="B4" s="3"/>
      <c r="C4" s="4" t="s">
        <v>33</v>
      </c>
      <c r="D4" s="5">
        <f>C18*0.75</f>
        <v>35605.072500000002</v>
      </c>
      <c r="E4" s="1"/>
      <c r="F4" s="1"/>
      <c r="G4" s="1"/>
      <c r="H4" s="1"/>
      <c r="I4" s="1"/>
      <c r="J4" s="1"/>
      <c r="K4" s="1"/>
      <c r="L4" s="1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6">
      <c r="A5" s="6"/>
      <c r="B5" s="1"/>
      <c r="C5" s="7" t="s">
        <v>5</v>
      </c>
      <c r="D5" s="5">
        <f>D4-D18</f>
        <v>-394.92749999999796</v>
      </c>
      <c r="E5" s="1"/>
      <c r="F5" s="1"/>
      <c r="G5" s="1"/>
      <c r="H5" s="1"/>
      <c r="I5" s="1"/>
      <c r="J5" s="1"/>
      <c r="K5" s="1"/>
      <c r="L5" s="1"/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6">
      <c r="A6" s="6" t="s">
        <v>6</v>
      </c>
      <c r="B6" s="1" t="s">
        <v>34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6">
      <c r="A7" s="6" t="s">
        <v>35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4">
      <c r="A8" s="54" t="s">
        <v>14</v>
      </c>
      <c r="B8" s="55"/>
      <c r="C8" s="58" t="s">
        <v>15</v>
      </c>
      <c r="D8" s="58" t="s">
        <v>16</v>
      </c>
      <c r="E8" s="58" t="s">
        <v>17</v>
      </c>
      <c r="F8" s="58" t="s">
        <v>18</v>
      </c>
      <c r="G8" s="1"/>
      <c r="H8" s="1"/>
      <c r="I8" s="1"/>
      <c r="J8" s="1"/>
      <c r="K8" s="1"/>
      <c r="L8" s="1"/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4">
      <c r="A9" s="56"/>
      <c r="B9" s="57"/>
      <c r="C9" s="59"/>
      <c r="D9" s="59"/>
      <c r="E9" s="59"/>
      <c r="F9" s="59"/>
      <c r="G9" s="1"/>
      <c r="H9" s="1"/>
      <c r="I9" s="1"/>
      <c r="J9" s="1"/>
      <c r="K9" s="1"/>
      <c r="L9" s="1"/>
      <c r="M9" s="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4">
      <c r="A10" s="9" t="s">
        <v>19</v>
      </c>
      <c r="B10" s="10" t="s">
        <v>20</v>
      </c>
      <c r="C10" s="56"/>
      <c r="D10" s="56"/>
      <c r="E10" s="56"/>
      <c r="F10" s="56"/>
      <c r="G10" s="1"/>
      <c r="H10" s="1"/>
      <c r="I10" s="1"/>
      <c r="J10" s="1"/>
      <c r="K10" s="1"/>
      <c r="L10" s="1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4">
      <c r="A11" s="12" t="s">
        <v>21</v>
      </c>
      <c r="B11" s="13" t="s">
        <v>22</v>
      </c>
      <c r="C11" s="14">
        <v>13989.95</v>
      </c>
      <c r="D11" s="15">
        <v>15000</v>
      </c>
      <c r="E11" s="15">
        <v>10000</v>
      </c>
      <c r="F11" s="15">
        <f t="shared" ref="F11:F17" si="0">D11-E11</f>
        <v>5000</v>
      </c>
      <c r="G11" s="1"/>
      <c r="H11" s="1"/>
      <c r="I11" s="1"/>
      <c r="J11" s="1"/>
      <c r="K11" s="1"/>
      <c r="L11" s="1"/>
      <c r="M11" s="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4">
      <c r="A12" s="12">
        <v>339033</v>
      </c>
      <c r="B12" s="13" t="s">
        <v>25</v>
      </c>
      <c r="C12" s="17">
        <v>21288.61</v>
      </c>
      <c r="D12" s="19">
        <v>18000</v>
      </c>
      <c r="E12" s="19">
        <v>15000</v>
      </c>
      <c r="F12" s="15">
        <f t="shared" si="0"/>
        <v>3000</v>
      </c>
      <c r="G12" s="1"/>
      <c r="H12" s="1"/>
      <c r="I12" s="1"/>
      <c r="J12" s="1"/>
      <c r="K12" s="1"/>
      <c r="L12" s="1"/>
      <c r="M12" s="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4">
      <c r="A13" s="12">
        <v>339036</v>
      </c>
      <c r="B13" s="13" t="s">
        <v>26</v>
      </c>
      <c r="C13" s="17">
        <v>932.5</v>
      </c>
      <c r="D13" s="19">
        <v>0</v>
      </c>
      <c r="E13" s="19"/>
      <c r="F13" s="15">
        <f t="shared" si="0"/>
        <v>0</v>
      </c>
      <c r="G13" s="1"/>
      <c r="H13" s="1"/>
      <c r="I13" s="1"/>
      <c r="J13" s="1"/>
      <c r="K13" s="1"/>
      <c r="L13" s="1"/>
      <c r="M13" s="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4">
      <c r="A14" s="12">
        <v>339039</v>
      </c>
      <c r="B14" s="13" t="s">
        <v>27</v>
      </c>
      <c r="C14" s="17">
        <v>11262.37</v>
      </c>
      <c r="D14" s="19">
        <v>3000</v>
      </c>
      <c r="E14" s="19"/>
      <c r="F14" s="15">
        <f t="shared" si="0"/>
        <v>3000</v>
      </c>
      <c r="G14" s="1"/>
      <c r="H14" s="1"/>
      <c r="I14" s="1"/>
      <c r="J14" s="1"/>
      <c r="K14" s="1"/>
      <c r="L14" s="1"/>
      <c r="M14" s="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4">
      <c r="A15" s="12"/>
      <c r="B15" s="13"/>
      <c r="C15" s="17"/>
      <c r="D15" s="19"/>
      <c r="E15" s="19">
        <v>0</v>
      </c>
      <c r="F15" s="15">
        <f t="shared" si="0"/>
        <v>0</v>
      </c>
      <c r="G15" s="1"/>
      <c r="H15" s="1"/>
      <c r="I15" s="1"/>
      <c r="J15" s="1"/>
      <c r="K15" s="1"/>
      <c r="L15" s="1"/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4">
      <c r="A16" s="12"/>
      <c r="B16" s="13"/>
      <c r="C16" s="17"/>
      <c r="D16" s="19"/>
      <c r="E16" s="19"/>
      <c r="F16" s="15">
        <f t="shared" si="0"/>
        <v>0</v>
      </c>
      <c r="G16" s="1"/>
      <c r="H16" s="1"/>
      <c r="I16" s="1"/>
      <c r="J16" s="1"/>
      <c r="K16" s="1"/>
      <c r="L16" s="1"/>
      <c r="M16" s="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4">
      <c r="A17" s="12"/>
      <c r="B17" s="13"/>
      <c r="C17" s="17"/>
      <c r="D17" s="19"/>
      <c r="E17" s="19"/>
      <c r="F17" s="15">
        <f t="shared" si="0"/>
        <v>0</v>
      </c>
      <c r="G17" s="1"/>
      <c r="H17" s="1"/>
      <c r="I17" s="1"/>
      <c r="J17" s="1"/>
      <c r="K17" s="1"/>
      <c r="L17" s="1"/>
      <c r="M17" s="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4">
      <c r="A18" s="11" t="s">
        <v>30</v>
      </c>
      <c r="B18" s="11" t="s">
        <v>31</v>
      </c>
      <c r="C18" s="21">
        <f t="shared" ref="C18:F18" si="1">SUM(C11:C17)</f>
        <v>47473.43</v>
      </c>
      <c r="D18" s="21">
        <f t="shared" si="1"/>
        <v>36000</v>
      </c>
      <c r="E18" s="22">
        <f t="shared" si="1"/>
        <v>25000</v>
      </c>
      <c r="F18" s="22">
        <f t="shared" si="1"/>
        <v>11000</v>
      </c>
      <c r="G18" s="1"/>
      <c r="H18" s="1"/>
      <c r="I18" s="1"/>
      <c r="J18" s="1"/>
      <c r="K18" s="1"/>
      <c r="L18" s="1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4">
      <c r="A19" s="60" t="s">
        <v>32</v>
      </c>
      <c r="B19" s="55"/>
      <c r="C19" s="55"/>
      <c r="D19" s="55"/>
      <c r="E19" s="24"/>
      <c r="F19" s="24"/>
      <c r="G19" s="24"/>
      <c r="H19" s="24"/>
      <c r="I19" s="24"/>
      <c r="J19" s="24"/>
      <c r="K19" s="24"/>
      <c r="L19" s="24"/>
      <c r="M19" s="2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4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2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26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>
      <c r="A27" s="26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7">
    <mergeCell ref="F8:F10"/>
    <mergeCell ref="A19:D19"/>
    <mergeCell ref="A1:D1"/>
    <mergeCell ref="A8:B9"/>
    <mergeCell ref="C8:C10"/>
    <mergeCell ref="D8:D10"/>
    <mergeCell ref="E8:E10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0"/>
  <sheetViews>
    <sheetView workbookViewId="0"/>
  </sheetViews>
  <sheetFormatPr defaultColWidth="14.44140625" defaultRowHeight="15" customHeight="1"/>
  <cols>
    <col min="1" max="1" width="23.5546875" customWidth="1"/>
    <col min="2" max="2" width="54.33203125" customWidth="1"/>
    <col min="3" max="4" width="22.5546875" customWidth="1"/>
    <col min="5" max="6" width="22.109375" customWidth="1"/>
    <col min="7" max="27" width="9.109375" customWidth="1"/>
  </cols>
  <sheetData>
    <row r="1" spans="1:27" ht="22.8">
      <c r="A1" s="52"/>
      <c r="B1" s="53"/>
      <c r="C1" s="53"/>
      <c r="D1" s="53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6">
      <c r="A4" s="3" t="s">
        <v>0</v>
      </c>
      <c r="B4" s="3"/>
      <c r="C4" s="4" t="s">
        <v>36</v>
      </c>
      <c r="D4" s="5">
        <f>C18*0.75</f>
        <v>27853.275000000001</v>
      </c>
      <c r="E4" s="1"/>
      <c r="F4" s="1"/>
      <c r="G4" s="1"/>
      <c r="H4" s="1"/>
      <c r="I4" s="1"/>
      <c r="J4" s="1"/>
      <c r="K4" s="1"/>
      <c r="L4" s="1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6">
      <c r="A5" s="6"/>
      <c r="B5" s="1"/>
      <c r="C5" s="7" t="s">
        <v>5</v>
      </c>
      <c r="D5" s="5">
        <f>D4-D18</f>
        <v>53.275000000001455</v>
      </c>
      <c r="E5" s="1"/>
      <c r="F5" s="1"/>
      <c r="G5" s="1"/>
      <c r="H5" s="1"/>
      <c r="I5" s="1"/>
      <c r="J5" s="1"/>
      <c r="K5" s="1"/>
      <c r="L5" s="1"/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6">
      <c r="A6" s="6" t="s">
        <v>6</v>
      </c>
      <c r="B6" s="1" t="s">
        <v>37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6">
      <c r="A7" s="6" t="s">
        <v>38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4">
      <c r="A8" s="54" t="s">
        <v>14</v>
      </c>
      <c r="B8" s="55"/>
      <c r="C8" s="58" t="s">
        <v>15</v>
      </c>
      <c r="D8" s="58" t="s">
        <v>16</v>
      </c>
      <c r="E8" s="58" t="s">
        <v>17</v>
      </c>
      <c r="F8" s="58" t="s">
        <v>18</v>
      </c>
      <c r="G8" s="1"/>
      <c r="H8" s="1"/>
      <c r="I8" s="1"/>
      <c r="J8" s="1"/>
      <c r="K8" s="1"/>
      <c r="L8" s="1"/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4">
      <c r="A9" s="56"/>
      <c r="B9" s="57"/>
      <c r="C9" s="59"/>
      <c r="D9" s="59"/>
      <c r="E9" s="59"/>
      <c r="F9" s="59"/>
      <c r="G9" s="1"/>
      <c r="H9" s="1"/>
      <c r="I9" s="1"/>
      <c r="J9" s="1"/>
      <c r="K9" s="1"/>
      <c r="L9" s="1"/>
      <c r="M9" s="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4">
      <c r="A10" s="9" t="s">
        <v>19</v>
      </c>
      <c r="B10" s="10" t="s">
        <v>20</v>
      </c>
      <c r="C10" s="56"/>
      <c r="D10" s="56"/>
      <c r="E10" s="56"/>
      <c r="F10" s="56"/>
      <c r="G10" s="1"/>
      <c r="H10" s="1"/>
      <c r="I10" s="1"/>
      <c r="J10" s="1"/>
      <c r="K10" s="1"/>
      <c r="L10" s="1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4">
      <c r="A11" s="12" t="s">
        <v>21</v>
      </c>
      <c r="B11" s="13" t="s">
        <v>22</v>
      </c>
      <c r="C11" s="15">
        <v>13111.65</v>
      </c>
      <c r="D11" s="15">
        <v>8000</v>
      </c>
      <c r="E11" s="15">
        <v>8000</v>
      </c>
      <c r="F11" s="15">
        <f t="shared" ref="F11:F17" si="0">D11-E11</f>
        <v>0</v>
      </c>
      <c r="G11" s="1"/>
      <c r="H11" s="1"/>
      <c r="I11" s="1"/>
      <c r="J11" s="1"/>
      <c r="K11" s="1"/>
      <c r="L11" s="1"/>
      <c r="M11" s="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4">
      <c r="A12" s="12">
        <v>339033</v>
      </c>
      <c r="B12" s="13" t="s">
        <v>25</v>
      </c>
      <c r="C12" s="19">
        <v>15873.25</v>
      </c>
      <c r="D12" s="19">
        <v>8000</v>
      </c>
      <c r="E12" s="19">
        <v>5000</v>
      </c>
      <c r="F12" s="15">
        <f t="shared" si="0"/>
        <v>3000</v>
      </c>
      <c r="G12" s="1"/>
      <c r="H12" s="1"/>
      <c r="I12" s="1"/>
      <c r="J12" s="1"/>
      <c r="K12" s="1"/>
      <c r="L12" s="1"/>
      <c r="M12" s="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4">
      <c r="A13" s="12">
        <v>339036</v>
      </c>
      <c r="B13" s="13" t="s">
        <v>26</v>
      </c>
      <c r="C13" s="19">
        <v>7537.5</v>
      </c>
      <c r="D13" s="19">
        <v>6000</v>
      </c>
      <c r="E13" s="19">
        <v>1000</v>
      </c>
      <c r="F13" s="15">
        <f t="shared" si="0"/>
        <v>5000</v>
      </c>
      <c r="G13" s="1"/>
      <c r="H13" s="1"/>
      <c r="I13" s="1"/>
      <c r="J13" s="1"/>
      <c r="K13" s="1"/>
      <c r="L13" s="1"/>
      <c r="M13" s="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4">
      <c r="A14" s="12">
        <v>339039</v>
      </c>
      <c r="B14" s="13" t="s">
        <v>27</v>
      </c>
      <c r="C14" s="19">
        <v>615.29999999999995</v>
      </c>
      <c r="D14" s="19">
        <v>5800</v>
      </c>
      <c r="E14" s="19"/>
      <c r="F14" s="15">
        <f t="shared" si="0"/>
        <v>5800</v>
      </c>
      <c r="G14" s="1"/>
      <c r="H14" s="1"/>
      <c r="I14" s="1"/>
      <c r="J14" s="1"/>
      <c r="K14" s="1"/>
      <c r="L14" s="1"/>
      <c r="M14" s="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4">
      <c r="A15" s="12"/>
      <c r="B15" s="13"/>
      <c r="C15" s="19"/>
      <c r="D15" s="19"/>
      <c r="E15" s="19">
        <v>0</v>
      </c>
      <c r="F15" s="15">
        <f t="shared" si="0"/>
        <v>0</v>
      </c>
      <c r="G15" s="1"/>
      <c r="H15" s="1"/>
      <c r="I15" s="1"/>
      <c r="J15" s="1"/>
      <c r="K15" s="1"/>
      <c r="L15" s="1"/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4">
      <c r="A16" s="12"/>
      <c r="B16" s="13"/>
      <c r="C16" s="19"/>
      <c r="D16" s="19"/>
      <c r="E16" s="19"/>
      <c r="F16" s="15">
        <f t="shared" si="0"/>
        <v>0</v>
      </c>
      <c r="G16" s="1"/>
      <c r="H16" s="1"/>
      <c r="I16" s="1"/>
      <c r="J16" s="1"/>
      <c r="K16" s="1"/>
      <c r="L16" s="1"/>
      <c r="M16" s="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4">
      <c r="A17" s="12"/>
      <c r="B17" s="13"/>
      <c r="C17" s="19"/>
      <c r="D17" s="19"/>
      <c r="E17" s="19"/>
      <c r="F17" s="15">
        <f t="shared" si="0"/>
        <v>0</v>
      </c>
      <c r="G17" s="1"/>
      <c r="H17" s="1"/>
      <c r="I17" s="1"/>
      <c r="J17" s="1"/>
      <c r="K17" s="1"/>
      <c r="L17" s="1"/>
      <c r="M17" s="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4">
      <c r="A18" s="11" t="s">
        <v>30</v>
      </c>
      <c r="B18" s="11" t="s">
        <v>31</v>
      </c>
      <c r="C18" s="21">
        <f t="shared" ref="C18:F18" si="1">SUM(C11:C17)</f>
        <v>37137.700000000004</v>
      </c>
      <c r="D18" s="21">
        <f t="shared" si="1"/>
        <v>27800</v>
      </c>
      <c r="E18" s="22">
        <f t="shared" si="1"/>
        <v>14000</v>
      </c>
      <c r="F18" s="22">
        <f t="shared" si="1"/>
        <v>13800</v>
      </c>
      <c r="G18" s="1"/>
      <c r="H18" s="1"/>
      <c r="I18" s="1"/>
      <c r="J18" s="1"/>
      <c r="K18" s="1"/>
      <c r="L18" s="1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4">
      <c r="A19" s="60" t="s">
        <v>32</v>
      </c>
      <c r="B19" s="55"/>
      <c r="C19" s="55"/>
      <c r="D19" s="55"/>
      <c r="E19" s="24"/>
      <c r="F19" s="24"/>
      <c r="G19" s="24"/>
      <c r="H19" s="24"/>
      <c r="I19" s="24"/>
      <c r="J19" s="24"/>
      <c r="K19" s="24"/>
      <c r="L19" s="24"/>
      <c r="M19" s="2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4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2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26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>
      <c r="A27" s="26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7">
    <mergeCell ref="F8:F10"/>
    <mergeCell ref="A19:D19"/>
    <mergeCell ref="A1:D1"/>
    <mergeCell ref="A8:B9"/>
    <mergeCell ref="C8:C10"/>
    <mergeCell ref="D8:D10"/>
    <mergeCell ref="E8:E10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00"/>
  <sheetViews>
    <sheetView workbookViewId="0"/>
  </sheetViews>
  <sheetFormatPr defaultColWidth="14.44140625" defaultRowHeight="15" customHeight="1"/>
  <cols>
    <col min="1" max="1" width="23.5546875" customWidth="1"/>
    <col min="2" max="2" width="54.33203125" customWidth="1"/>
    <col min="3" max="4" width="23.44140625" customWidth="1"/>
    <col min="5" max="6" width="22.109375" customWidth="1"/>
    <col min="7" max="27" width="9.109375" customWidth="1"/>
  </cols>
  <sheetData>
    <row r="1" spans="1:27" ht="22.8">
      <c r="A1" s="52"/>
      <c r="B1" s="53"/>
      <c r="C1" s="53"/>
      <c r="D1" s="53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6">
      <c r="A4" s="3" t="s">
        <v>0</v>
      </c>
      <c r="B4" s="3"/>
      <c r="C4" s="4" t="s">
        <v>39</v>
      </c>
      <c r="D4" s="5">
        <f>C18*0.75</f>
        <v>47136.930000000008</v>
      </c>
      <c r="E4" s="1"/>
      <c r="F4" s="1"/>
      <c r="G4" s="1"/>
      <c r="H4" s="1"/>
      <c r="I4" s="1"/>
      <c r="J4" s="1"/>
      <c r="K4" s="1"/>
      <c r="L4" s="1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6">
      <c r="A5" s="6"/>
      <c r="B5" s="1"/>
      <c r="C5" s="7" t="s">
        <v>5</v>
      </c>
      <c r="D5" s="5">
        <f>D4-D18</f>
        <v>0</v>
      </c>
      <c r="E5" s="1"/>
      <c r="F5" s="1"/>
      <c r="G5" s="1"/>
      <c r="H5" s="1"/>
      <c r="I5" s="1"/>
      <c r="J5" s="1"/>
      <c r="K5" s="1"/>
      <c r="L5" s="1"/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6">
      <c r="A6" s="6" t="s">
        <v>6</v>
      </c>
      <c r="B6" s="1" t="s">
        <v>40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6">
      <c r="A7" s="6" t="s">
        <v>41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4">
      <c r="A8" s="54" t="s">
        <v>14</v>
      </c>
      <c r="B8" s="55"/>
      <c r="C8" s="58" t="s">
        <v>15</v>
      </c>
      <c r="D8" s="58" t="s">
        <v>16</v>
      </c>
      <c r="E8" s="58" t="s">
        <v>17</v>
      </c>
      <c r="F8" s="58" t="s">
        <v>18</v>
      </c>
      <c r="G8" s="1"/>
      <c r="H8" s="1"/>
      <c r="I8" s="1"/>
      <c r="J8" s="1"/>
      <c r="K8" s="1"/>
      <c r="L8" s="1"/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4">
      <c r="A9" s="56"/>
      <c r="B9" s="57"/>
      <c r="C9" s="59"/>
      <c r="D9" s="59"/>
      <c r="E9" s="59"/>
      <c r="F9" s="59"/>
      <c r="G9" s="1"/>
      <c r="H9" s="1"/>
      <c r="I9" s="1"/>
      <c r="J9" s="1"/>
      <c r="K9" s="1"/>
      <c r="L9" s="1"/>
      <c r="M9" s="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4">
      <c r="A10" s="9" t="s">
        <v>19</v>
      </c>
      <c r="B10" s="10" t="s">
        <v>20</v>
      </c>
      <c r="C10" s="56"/>
      <c r="D10" s="56"/>
      <c r="E10" s="56"/>
      <c r="F10" s="56"/>
      <c r="G10" s="1"/>
      <c r="H10" s="1"/>
      <c r="I10" s="1"/>
      <c r="J10" s="1"/>
      <c r="K10" s="1"/>
      <c r="L10" s="1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4">
      <c r="A11" s="12" t="s">
        <v>21</v>
      </c>
      <c r="B11" s="13" t="s">
        <v>22</v>
      </c>
      <c r="C11" s="14">
        <v>41037.800000000003</v>
      </c>
      <c r="D11" s="15">
        <v>28136.93</v>
      </c>
      <c r="E11" s="15">
        <v>10000</v>
      </c>
      <c r="F11" s="15">
        <f t="shared" ref="F11:F17" si="0">D11-E11</f>
        <v>18136.93</v>
      </c>
      <c r="G11" s="1"/>
      <c r="H11" s="1"/>
      <c r="I11" s="1"/>
      <c r="J11" s="1"/>
      <c r="K11" s="1"/>
      <c r="L11" s="1"/>
      <c r="M11" s="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4">
      <c r="A12" s="12">
        <v>339033</v>
      </c>
      <c r="B12" s="13" t="s">
        <v>25</v>
      </c>
      <c r="C12" s="17">
        <v>15948.94</v>
      </c>
      <c r="D12" s="19">
        <v>14000</v>
      </c>
      <c r="E12" s="15">
        <v>10000</v>
      </c>
      <c r="F12" s="15">
        <f t="shared" si="0"/>
        <v>4000</v>
      </c>
      <c r="G12" s="1"/>
      <c r="H12" s="1"/>
      <c r="I12" s="1"/>
      <c r="J12" s="1"/>
      <c r="K12" s="1"/>
      <c r="L12" s="1"/>
      <c r="M12" s="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4">
      <c r="A13" s="12">
        <v>339036</v>
      </c>
      <c r="B13" s="13" t="s">
        <v>26</v>
      </c>
      <c r="C13" s="17">
        <v>5862.5</v>
      </c>
      <c r="D13" s="19">
        <v>5000</v>
      </c>
      <c r="E13" s="19">
        <v>0</v>
      </c>
      <c r="F13" s="15">
        <f t="shared" si="0"/>
        <v>5000</v>
      </c>
      <c r="G13" s="1"/>
      <c r="H13" s="1"/>
      <c r="I13" s="1"/>
      <c r="J13" s="1"/>
      <c r="K13" s="1"/>
      <c r="L13" s="1"/>
      <c r="M13" s="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4">
      <c r="A14" s="12">
        <v>339039</v>
      </c>
      <c r="B14" s="13" t="s">
        <v>27</v>
      </c>
      <c r="C14" s="17">
        <v>0</v>
      </c>
      <c r="D14" s="19">
        <v>0</v>
      </c>
      <c r="E14" s="19">
        <v>0</v>
      </c>
      <c r="F14" s="15">
        <f t="shared" si="0"/>
        <v>0</v>
      </c>
      <c r="G14" s="1"/>
      <c r="H14" s="1"/>
      <c r="I14" s="1"/>
      <c r="J14" s="1"/>
      <c r="K14" s="1"/>
      <c r="L14" s="1"/>
      <c r="M14" s="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4">
      <c r="A15" s="12"/>
      <c r="B15" s="13"/>
      <c r="C15" s="17"/>
      <c r="D15" s="19">
        <v>0</v>
      </c>
      <c r="E15" s="19">
        <v>0</v>
      </c>
      <c r="F15" s="15">
        <f t="shared" si="0"/>
        <v>0</v>
      </c>
      <c r="G15" s="1"/>
      <c r="H15" s="1"/>
      <c r="I15" s="1"/>
      <c r="J15" s="1"/>
      <c r="K15" s="1"/>
      <c r="L15" s="1"/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4">
      <c r="A16" s="12"/>
      <c r="B16" s="13"/>
      <c r="C16" s="17"/>
      <c r="D16" s="19">
        <v>0</v>
      </c>
      <c r="E16" s="19"/>
      <c r="F16" s="15">
        <f t="shared" si="0"/>
        <v>0</v>
      </c>
      <c r="G16" s="1"/>
      <c r="H16" s="1"/>
      <c r="I16" s="1"/>
      <c r="J16" s="1"/>
      <c r="K16" s="1"/>
      <c r="L16" s="1"/>
      <c r="M16" s="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4">
      <c r="A17" s="12"/>
      <c r="B17" s="13"/>
      <c r="C17" s="17"/>
      <c r="D17" s="19">
        <v>0</v>
      </c>
      <c r="E17" s="19"/>
      <c r="F17" s="15">
        <f t="shared" si="0"/>
        <v>0</v>
      </c>
      <c r="G17" s="1"/>
      <c r="H17" s="1"/>
      <c r="I17" s="1"/>
      <c r="J17" s="1"/>
      <c r="K17" s="1"/>
      <c r="L17" s="1"/>
      <c r="M17" s="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4">
      <c r="A18" s="9" t="s">
        <v>30</v>
      </c>
      <c r="B18" s="9" t="s">
        <v>31</v>
      </c>
      <c r="C18" s="22">
        <f>SUM(C11:C17)</f>
        <v>62849.240000000005</v>
      </c>
      <c r="D18" s="28">
        <v>47136.93</v>
      </c>
      <c r="E18" s="22">
        <f t="shared" ref="E18:F18" si="1">SUM(E11:E17)</f>
        <v>20000</v>
      </c>
      <c r="F18" s="22">
        <f t="shared" si="1"/>
        <v>27136.93</v>
      </c>
      <c r="G18" s="1"/>
      <c r="H18" s="1"/>
      <c r="I18" s="1"/>
      <c r="J18" s="1"/>
      <c r="K18" s="1"/>
      <c r="L18" s="1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4">
      <c r="A19" s="60" t="s">
        <v>32</v>
      </c>
      <c r="B19" s="55"/>
      <c r="C19" s="55"/>
      <c r="D19" s="55"/>
      <c r="E19" s="24"/>
      <c r="F19" s="24"/>
      <c r="G19" s="24"/>
      <c r="H19" s="24"/>
      <c r="I19" s="24"/>
      <c r="J19" s="24"/>
      <c r="K19" s="24"/>
      <c r="L19" s="24"/>
      <c r="M19" s="2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4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2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26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>
      <c r="A27" s="26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7">
    <mergeCell ref="F8:F10"/>
    <mergeCell ref="A19:D19"/>
    <mergeCell ref="A1:D1"/>
    <mergeCell ref="A8:B9"/>
    <mergeCell ref="C8:C10"/>
    <mergeCell ref="D8:D10"/>
    <mergeCell ref="E8:E10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1000"/>
  <sheetViews>
    <sheetView workbookViewId="0"/>
  </sheetViews>
  <sheetFormatPr defaultColWidth="14.44140625" defaultRowHeight="15" customHeight="1"/>
  <cols>
    <col min="1" max="1" width="23.5546875" customWidth="1"/>
    <col min="2" max="2" width="54.33203125" customWidth="1"/>
    <col min="3" max="4" width="23.88671875" customWidth="1"/>
    <col min="5" max="6" width="22.109375" customWidth="1"/>
    <col min="7" max="27" width="9.109375" customWidth="1"/>
  </cols>
  <sheetData>
    <row r="1" spans="1:27" ht="22.8">
      <c r="A1" s="52"/>
      <c r="B1" s="53"/>
      <c r="C1" s="53"/>
      <c r="D1" s="53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6">
      <c r="A4" s="3" t="s">
        <v>0</v>
      </c>
      <c r="B4" s="3"/>
      <c r="C4" s="4" t="s">
        <v>42</v>
      </c>
      <c r="D4" s="5">
        <f>C18*0.75</f>
        <v>32035.5</v>
      </c>
      <c r="E4" s="1"/>
      <c r="F4" s="1"/>
      <c r="G4" s="1"/>
      <c r="H4" s="1"/>
      <c r="I4" s="1"/>
      <c r="J4" s="1"/>
      <c r="K4" s="1"/>
      <c r="L4" s="1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6">
      <c r="A5" s="6"/>
      <c r="B5" s="1"/>
      <c r="C5" s="7" t="s">
        <v>5</v>
      </c>
      <c r="D5" s="5">
        <f>D4-D18</f>
        <v>0</v>
      </c>
      <c r="E5" s="1"/>
      <c r="F5" s="1"/>
      <c r="G5" s="1"/>
      <c r="H5" s="1"/>
      <c r="I5" s="1"/>
      <c r="J5" s="1"/>
      <c r="K5" s="1"/>
      <c r="L5" s="1"/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6">
      <c r="A6" s="6" t="s">
        <v>6</v>
      </c>
      <c r="B6" s="1" t="s">
        <v>43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6">
      <c r="A7" s="6" t="s">
        <v>44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4">
      <c r="A8" s="54" t="s">
        <v>14</v>
      </c>
      <c r="B8" s="55"/>
      <c r="C8" s="58" t="s">
        <v>15</v>
      </c>
      <c r="D8" s="58" t="s">
        <v>16</v>
      </c>
      <c r="E8" s="58" t="s">
        <v>17</v>
      </c>
      <c r="F8" s="58" t="s">
        <v>18</v>
      </c>
      <c r="G8" s="1"/>
      <c r="H8" s="1"/>
      <c r="I8" s="1"/>
      <c r="J8" s="1"/>
      <c r="K8" s="1"/>
      <c r="L8" s="1"/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4">
      <c r="A9" s="56"/>
      <c r="B9" s="57"/>
      <c r="C9" s="59"/>
      <c r="D9" s="59"/>
      <c r="E9" s="59"/>
      <c r="F9" s="59"/>
      <c r="G9" s="1"/>
      <c r="H9" s="1"/>
      <c r="I9" s="1"/>
      <c r="J9" s="1"/>
      <c r="K9" s="1"/>
      <c r="L9" s="1"/>
      <c r="M9" s="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4">
      <c r="A10" s="9" t="s">
        <v>19</v>
      </c>
      <c r="B10" s="10" t="s">
        <v>20</v>
      </c>
      <c r="C10" s="56"/>
      <c r="D10" s="56"/>
      <c r="E10" s="56"/>
      <c r="F10" s="56"/>
      <c r="G10" s="1"/>
      <c r="H10" s="1"/>
      <c r="I10" s="1"/>
      <c r="J10" s="1"/>
      <c r="K10" s="1"/>
      <c r="L10" s="1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4">
      <c r="A11" s="12" t="s">
        <v>21</v>
      </c>
      <c r="B11" s="13" t="s">
        <v>22</v>
      </c>
      <c r="C11" s="14">
        <v>21923.9</v>
      </c>
      <c r="D11" s="15">
        <v>19500.900000000001</v>
      </c>
      <c r="E11" s="15">
        <v>12500</v>
      </c>
      <c r="F11" s="15">
        <f t="shared" ref="F11:F17" si="0">D11-E11</f>
        <v>7000.9000000000015</v>
      </c>
      <c r="G11" s="1"/>
      <c r="H11" s="1"/>
      <c r="I11" s="1"/>
      <c r="J11" s="1"/>
      <c r="K11" s="1"/>
      <c r="L11" s="1"/>
      <c r="M11" s="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4">
      <c r="A12" s="12">
        <v>339033</v>
      </c>
      <c r="B12" s="13" t="s">
        <v>25</v>
      </c>
      <c r="C12" s="17">
        <v>20790.099999999999</v>
      </c>
      <c r="D12" s="19">
        <v>12534.6</v>
      </c>
      <c r="E12" s="19">
        <v>12500</v>
      </c>
      <c r="F12" s="15">
        <f t="shared" si="0"/>
        <v>34.600000000000364</v>
      </c>
      <c r="G12" s="1"/>
      <c r="H12" s="1"/>
      <c r="I12" s="1"/>
      <c r="J12" s="1"/>
      <c r="K12" s="1"/>
      <c r="L12" s="1"/>
      <c r="M12" s="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4">
      <c r="A13" s="12">
        <v>339036</v>
      </c>
      <c r="B13" s="13" t="s">
        <v>26</v>
      </c>
      <c r="C13" s="17"/>
      <c r="D13" s="19"/>
      <c r="E13" s="19"/>
      <c r="F13" s="18">
        <f t="shared" si="0"/>
        <v>0</v>
      </c>
      <c r="G13" s="1"/>
      <c r="H13" s="1"/>
      <c r="I13" s="1"/>
      <c r="J13" s="1"/>
      <c r="K13" s="1"/>
      <c r="L13" s="1"/>
      <c r="M13" s="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4">
      <c r="A14" s="12">
        <v>339039</v>
      </c>
      <c r="B14" s="13" t="s">
        <v>27</v>
      </c>
      <c r="C14" s="17"/>
      <c r="D14" s="19"/>
      <c r="E14" s="19">
        <v>1681.5</v>
      </c>
      <c r="F14" s="18">
        <f t="shared" si="0"/>
        <v>-1681.5</v>
      </c>
      <c r="G14" s="1"/>
      <c r="H14" s="1"/>
      <c r="I14" s="1"/>
      <c r="J14" s="1"/>
      <c r="K14" s="1"/>
      <c r="L14" s="1"/>
      <c r="M14" s="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4">
      <c r="A15" s="12"/>
      <c r="B15" s="13"/>
      <c r="C15" s="17"/>
      <c r="D15" s="19"/>
      <c r="E15" s="19">
        <v>0</v>
      </c>
      <c r="F15" s="15">
        <f t="shared" si="0"/>
        <v>0</v>
      </c>
      <c r="G15" s="1"/>
      <c r="H15" s="1"/>
      <c r="I15" s="1"/>
      <c r="J15" s="1"/>
      <c r="K15" s="1"/>
      <c r="L15" s="1"/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4">
      <c r="A16" s="12"/>
      <c r="B16" s="13"/>
      <c r="C16" s="17"/>
      <c r="D16" s="19"/>
      <c r="E16" s="19"/>
      <c r="F16" s="15">
        <f t="shared" si="0"/>
        <v>0</v>
      </c>
      <c r="G16" s="1"/>
      <c r="H16" s="1"/>
      <c r="I16" s="1"/>
      <c r="J16" s="1"/>
      <c r="K16" s="1"/>
      <c r="L16" s="1"/>
      <c r="M16" s="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4">
      <c r="A17" s="12"/>
      <c r="B17" s="13"/>
      <c r="C17" s="17"/>
      <c r="D17" s="19"/>
      <c r="E17" s="19"/>
      <c r="F17" s="15">
        <f t="shared" si="0"/>
        <v>0</v>
      </c>
      <c r="G17" s="1"/>
      <c r="H17" s="1"/>
      <c r="I17" s="1"/>
      <c r="J17" s="1"/>
      <c r="K17" s="1"/>
      <c r="L17" s="1"/>
      <c r="M17" s="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4">
      <c r="A18" s="9" t="s">
        <v>30</v>
      </c>
      <c r="B18" s="9" t="s">
        <v>31</v>
      </c>
      <c r="C18" s="22">
        <f t="shared" ref="C18:F18" si="1">SUM(C11:C17)</f>
        <v>42714</v>
      </c>
      <c r="D18" s="22">
        <f t="shared" si="1"/>
        <v>32035.5</v>
      </c>
      <c r="E18" s="22">
        <f t="shared" si="1"/>
        <v>26681.5</v>
      </c>
      <c r="F18" s="22">
        <f t="shared" si="1"/>
        <v>5354.0000000000018</v>
      </c>
      <c r="G18" s="1"/>
      <c r="H18" s="1"/>
      <c r="I18" s="1"/>
      <c r="J18" s="1"/>
      <c r="K18" s="1"/>
      <c r="L18" s="1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4">
      <c r="A19" s="60" t="s">
        <v>32</v>
      </c>
      <c r="B19" s="55"/>
      <c r="C19" s="55"/>
      <c r="D19" s="55"/>
      <c r="E19" s="24"/>
      <c r="F19" s="24"/>
      <c r="G19" s="24"/>
      <c r="H19" s="24"/>
      <c r="I19" s="24"/>
      <c r="J19" s="24"/>
      <c r="K19" s="24"/>
      <c r="L19" s="24"/>
      <c r="M19" s="2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4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2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26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>
      <c r="A27" s="26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7">
    <mergeCell ref="F8:F10"/>
    <mergeCell ref="A19:D19"/>
    <mergeCell ref="A1:D1"/>
    <mergeCell ref="A8:B9"/>
    <mergeCell ref="C8:C10"/>
    <mergeCell ref="D8:D10"/>
    <mergeCell ref="E8:E10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1000"/>
  <sheetViews>
    <sheetView workbookViewId="0"/>
  </sheetViews>
  <sheetFormatPr defaultColWidth="14.44140625" defaultRowHeight="15" customHeight="1"/>
  <cols>
    <col min="1" max="1" width="23.5546875" customWidth="1"/>
    <col min="2" max="2" width="54.33203125" customWidth="1"/>
    <col min="3" max="4" width="23.33203125" customWidth="1"/>
    <col min="5" max="6" width="22.109375" customWidth="1"/>
    <col min="7" max="7" width="11.88671875" customWidth="1"/>
    <col min="8" max="27" width="9.109375" customWidth="1"/>
  </cols>
  <sheetData>
    <row r="1" spans="1:27" ht="22.8">
      <c r="A1" s="52">
        <v>796031</v>
      </c>
      <c r="B1" s="53"/>
      <c r="C1" s="53"/>
      <c r="D1" s="53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6">
      <c r="A4" s="3" t="s">
        <v>0</v>
      </c>
      <c r="B4" s="3"/>
      <c r="C4" s="4" t="s">
        <v>45</v>
      </c>
      <c r="D4" s="5">
        <f>C18*0.75</f>
        <v>29908.53</v>
      </c>
      <c r="E4" s="1"/>
      <c r="F4" s="1"/>
      <c r="G4" s="1"/>
      <c r="H4" s="1"/>
      <c r="I4" s="1"/>
      <c r="J4" s="1"/>
      <c r="K4" s="1"/>
      <c r="L4" s="1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6">
      <c r="A5" s="6"/>
      <c r="B5" s="1"/>
      <c r="C5" s="7" t="s">
        <v>5</v>
      </c>
      <c r="D5" s="5">
        <f>D4-D18</f>
        <v>0</v>
      </c>
      <c r="E5" s="1"/>
      <c r="F5" s="1"/>
      <c r="G5" s="1"/>
      <c r="H5" s="1"/>
      <c r="I5" s="1"/>
      <c r="J5" s="1"/>
      <c r="K5" s="1"/>
      <c r="L5" s="1"/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6">
      <c r="A6" s="6" t="s">
        <v>6</v>
      </c>
      <c r="B6" s="1" t="s">
        <v>46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6">
      <c r="A7" s="6" t="s">
        <v>47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4">
      <c r="A8" s="54" t="s">
        <v>14</v>
      </c>
      <c r="B8" s="55"/>
      <c r="C8" s="58" t="s">
        <v>15</v>
      </c>
      <c r="D8" s="58" t="s">
        <v>16</v>
      </c>
      <c r="E8" s="58" t="s">
        <v>17</v>
      </c>
      <c r="F8" s="58" t="s">
        <v>18</v>
      </c>
      <c r="G8" s="1"/>
      <c r="H8" s="1"/>
      <c r="I8" s="1"/>
      <c r="J8" s="1"/>
      <c r="K8" s="1"/>
      <c r="L8" s="1"/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4">
      <c r="A9" s="56"/>
      <c r="B9" s="57"/>
      <c r="C9" s="59"/>
      <c r="D9" s="59"/>
      <c r="E9" s="59"/>
      <c r="F9" s="59"/>
      <c r="G9" s="1"/>
      <c r="H9" s="1"/>
      <c r="I9" s="1"/>
      <c r="J9" s="1"/>
      <c r="K9" s="1"/>
      <c r="L9" s="1"/>
      <c r="M9" s="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4">
      <c r="A10" s="9" t="s">
        <v>19</v>
      </c>
      <c r="B10" s="10" t="s">
        <v>20</v>
      </c>
      <c r="C10" s="56"/>
      <c r="D10" s="56"/>
      <c r="E10" s="56"/>
      <c r="F10" s="56"/>
      <c r="G10" s="1"/>
      <c r="H10" s="1"/>
      <c r="I10" s="1"/>
      <c r="J10" s="1"/>
      <c r="K10" s="1"/>
      <c r="L10" s="1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4">
      <c r="A11" s="12" t="s">
        <v>21</v>
      </c>
      <c r="B11" s="13" t="s">
        <v>22</v>
      </c>
      <c r="C11" s="14">
        <v>27537.439999999999</v>
      </c>
      <c r="D11" s="15">
        <v>19908.53</v>
      </c>
      <c r="E11" s="15">
        <v>10000</v>
      </c>
      <c r="F11" s="15">
        <f t="shared" ref="F11:F17" si="0">D11-E11</f>
        <v>9908.5299999999988</v>
      </c>
      <c r="G11" s="24">
        <f>F11</f>
        <v>9908.5299999999988</v>
      </c>
      <c r="H11" s="1"/>
      <c r="I11" s="1"/>
      <c r="J11" s="1"/>
      <c r="K11" s="1"/>
      <c r="L11" s="1"/>
      <c r="M11" s="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4">
      <c r="A12" s="12">
        <v>339033</v>
      </c>
      <c r="B12" s="13" t="s">
        <v>25</v>
      </c>
      <c r="C12" s="17">
        <v>11315.1</v>
      </c>
      <c r="D12" s="19">
        <v>10000</v>
      </c>
      <c r="E12" s="19">
        <v>352.78</v>
      </c>
      <c r="F12" s="15">
        <f t="shared" si="0"/>
        <v>9647.2199999999993</v>
      </c>
      <c r="G12" s="24">
        <f>F18-F11</f>
        <v>7960.3100000000013</v>
      </c>
      <c r="H12" s="1"/>
      <c r="I12" s="1"/>
      <c r="J12" s="1"/>
      <c r="K12" s="1"/>
      <c r="L12" s="1"/>
      <c r="M12" s="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4">
      <c r="A13" s="12">
        <v>339036</v>
      </c>
      <c r="B13" s="13" t="s">
        <v>26</v>
      </c>
      <c r="C13" s="17"/>
      <c r="D13" s="19"/>
      <c r="E13" s="19">
        <v>0</v>
      </c>
      <c r="F13" s="15">
        <f t="shared" si="0"/>
        <v>0</v>
      </c>
      <c r="G13" s="1"/>
      <c r="H13" s="1"/>
      <c r="I13" s="1"/>
      <c r="J13" s="1"/>
      <c r="K13" s="1"/>
      <c r="L13" s="1"/>
      <c r="M13" s="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4">
      <c r="A14" s="12">
        <v>339039</v>
      </c>
      <c r="B14" s="13" t="s">
        <v>27</v>
      </c>
      <c r="C14" s="17">
        <v>1025.5</v>
      </c>
      <c r="D14" s="19"/>
      <c r="E14" s="19"/>
      <c r="F14" s="18">
        <f t="shared" si="0"/>
        <v>0</v>
      </c>
      <c r="G14" s="1"/>
      <c r="H14" s="1"/>
      <c r="I14" s="1"/>
      <c r="J14" s="1"/>
      <c r="K14" s="1"/>
      <c r="L14" s="1"/>
      <c r="M14" s="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4">
      <c r="A15" s="12">
        <v>339092</v>
      </c>
      <c r="B15" s="13"/>
      <c r="C15" s="17"/>
      <c r="D15" s="19"/>
      <c r="E15" s="25">
        <v>1686.91</v>
      </c>
      <c r="F15" s="18">
        <f t="shared" si="0"/>
        <v>-1686.91</v>
      </c>
      <c r="G15" s="1"/>
      <c r="H15" s="1"/>
      <c r="I15" s="1"/>
      <c r="J15" s="1"/>
      <c r="K15" s="1"/>
      <c r="L15" s="1"/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4">
      <c r="A16" s="12"/>
      <c r="B16" s="13"/>
      <c r="C16" s="17"/>
      <c r="D16" s="19"/>
      <c r="E16" s="19"/>
      <c r="F16" s="15">
        <f t="shared" si="0"/>
        <v>0</v>
      </c>
      <c r="G16" s="1"/>
      <c r="H16" s="1"/>
      <c r="I16" s="1"/>
      <c r="J16" s="1"/>
      <c r="K16" s="1"/>
      <c r="L16" s="1"/>
      <c r="M16" s="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4">
      <c r="A17" s="12"/>
      <c r="B17" s="13"/>
      <c r="C17" s="17"/>
      <c r="D17" s="19"/>
      <c r="E17" s="19"/>
      <c r="F17" s="15">
        <f t="shared" si="0"/>
        <v>0</v>
      </c>
      <c r="G17" s="1"/>
      <c r="H17" s="1"/>
      <c r="I17" s="1"/>
      <c r="J17" s="1"/>
      <c r="K17" s="1"/>
      <c r="L17" s="1"/>
      <c r="M17" s="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4">
      <c r="A18" s="9" t="s">
        <v>30</v>
      </c>
      <c r="B18" s="9" t="s">
        <v>31</v>
      </c>
      <c r="C18" s="22">
        <f t="shared" ref="C18:F18" si="1">SUM(C11:C17)</f>
        <v>39878.04</v>
      </c>
      <c r="D18" s="22">
        <f t="shared" si="1"/>
        <v>29908.53</v>
      </c>
      <c r="E18" s="22">
        <f t="shared" si="1"/>
        <v>12039.69</v>
      </c>
      <c r="F18" s="22">
        <f t="shared" si="1"/>
        <v>17868.84</v>
      </c>
      <c r="G18" s="24">
        <f>G11+G12</f>
        <v>17868.84</v>
      </c>
      <c r="H18" s="1"/>
      <c r="I18" s="1"/>
      <c r="J18" s="1"/>
      <c r="K18" s="1"/>
      <c r="L18" s="1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4">
      <c r="A19" s="60" t="s">
        <v>32</v>
      </c>
      <c r="B19" s="55"/>
      <c r="C19" s="55"/>
      <c r="D19" s="55"/>
      <c r="E19" s="24"/>
      <c r="F19" s="24"/>
      <c r="G19" s="24"/>
      <c r="H19" s="24"/>
      <c r="I19" s="24"/>
      <c r="J19" s="24"/>
      <c r="K19" s="24"/>
      <c r="L19" s="24"/>
      <c r="M19" s="2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4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2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26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>
      <c r="A27" s="26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7">
    <mergeCell ref="F8:F10"/>
    <mergeCell ref="A19:D19"/>
    <mergeCell ref="A1:D1"/>
    <mergeCell ref="A8:B9"/>
    <mergeCell ref="C8:C10"/>
    <mergeCell ref="D8:D10"/>
    <mergeCell ref="E8:E10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1000"/>
  <sheetViews>
    <sheetView workbookViewId="0"/>
  </sheetViews>
  <sheetFormatPr defaultColWidth="14.44140625" defaultRowHeight="15" customHeight="1"/>
  <cols>
    <col min="1" max="1" width="23.5546875" customWidth="1"/>
    <col min="2" max="2" width="54.33203125" customWidth="1"/>
    <col min="3" max="4" width="23.33203125" customWidth="1"/>
    <col min="5" max="6" width="22.109375" customWidth="1"/>
    <col min="7" max="27" width="9.109375" customWidth="1"/>
  </cols>
  <sheetData>
    <row r="1" spans="1:27" ht="22.8">
      <c r="A1" s="52"/>
      <c r="B1" s="53"/>
      <c r="C1" s="53"/>
      <c r="D1" s="53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6">
      <c r="A4" s="3" t="s">
        <v>0</v>
      </c>
      <c r="B4" s="3"/>
      <c r="C4" s="4" t="s">
        <v>48</v>
      </c>
      <c r="D4" s="5">
        <v>20000</v>
      </c>
      <c r="E4" s="1"/>
      <c r="F4" s="1"/>
      <c r="G4" s="1"/>
      <c r="H4" s="1"/>
      <c r="I4" s="1"/>
      <c r="J4" s="1"/>
      <c r="K4" s="1"/>
      <c r="L4" s="1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6">
      <c r="A5" s="6"/>
      <c r="B5" s="1"/>
      <c r="C5" s="7" t="s">
        <v>5</v>
      </c>
      <c r="D5" s="5">
        <f>D4-D18</f>
        <v>0</v>
      </c>
      <c r="E5" s="1"/>
      <c r="F5" s="1"/>
      <c r="G5" s="1"/>
      <c r="H5" s="1"/>
      <c r="I5" s="1"/>
      <c r="J5" s="1"/>
      <c r="K5" s="1"/>
      <c r="L5" s="1"/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6">
      <c r="A6" s="6" t="s">
        <v>6</v>
      </c>
      <c r="B6" s="1" t="s">
        <v>49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6">
      <c r="A7" s="6" t="s">
        <v>50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4">
      <c r="A8" s="54" t="s">
        <v>14</v>
      </c>
      <c r="B8" s="55"/>
      <c r="C8" s="58" t="s">
        <v>15</v>
      </c>
      <c r="D8" s="58" t="s">
        <v>16</v>
      </c>
      <c r="E8" s="58" t="s">
        <v>17</v>
      </c>
      <c r="F8" s="58" t="s">
        <v>18</v>
      </c>
      <c r="G8" s="1"/>
      <c r="H8" s="1"/>
      <c r="I8" s="1"/>
      <c r="J8" s="1"/>
      <c r="K8" s="1"/>
      <c r="L8" s="1"/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4">
      <c r="A9" s="56"/>
      <c r="B9" s="57"/>
      <c r="C9" s="59"/>
      <c r="D9" s="59"/>
      <c r="E9" s="59"/>
      <c r="F9" s="59"/>
      <c r="G9" s="1"/>
      <c r="H9" s="1"/>
      <c r="I9" s="1"/>
      <c r="J9" s="1"/>
      <c r="K9" s="1"/>
      <c r="L9" s="1"/>
      <c r="M9" s="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4">
      <c r="A10" s="9" t="s">
        <v>19</v>
      </c>
      <c r="B10" s="10" t="s">
        <v>20</v>
      </c>
      <c r="C10" s="56"/>
      <c r="D10" s="56"/>
      <c r="E10" s="56"/>
      <c r="F10" s="56"/>
      <c r="G10" s="1"/>
      <c r="H10" s="1"/>
      <c r="I10" s="1"/>
      <c r="J10" s="1"/>
      <c r="K10" s="1"/>
      <c r="L10" s="1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4">
      <c r="A11" s="12" t="s">
        <v>21</v>
      </c>
      <c r="B11" s="13" t="s">
        <v>22</v>
      </c>
      <c r="C11" s="14"/>
      <c r="D11" s="15">
        <v>10000</v>
      </c>
      <c r="E11" s="15">
        <v>0</v>
      </c>
      <c r="F11" s="15">
        <f t="shared" ref="F11:F17" si="0">D11-E11</f>
        <v>10000</v>
      </c>
      <c r="G11" s="1"/>
      <c r="H11" s="1"/>
      <c r="I11" s="1"/>
      <c r="J11" s="1"/>
      <c r="K11" s="1"/>
      <c r="L11" s="1"/>
      <c r="M11" s="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4">
      <c r="A12" s="12">
        <v>339033</v>
      </c>
      <c r="B12" s="13" t="s">
        <v>25</v>
      </c>
      <c r="C12" s="17"/>
      <c r="D12" s="19">
        <v>5000</v>
      </c>
      <c r="E12" s="19">
        <v>0</v>
      </c>
      <c r="F12" s="15">
        <f t="shared" si="0"/>
        <v>5000</v>
      </c>
      <c r="G12" s="1"/>
      <c r="H12" s="1"/>
      <c r="I12" s="1"/>
      <c r="J12" s="1"/>
      <c r="K12" s="1"/>
      <c r="L12" s="1"/>
      <c r="M12" s="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4">
      <c r="A13" s="12">
        <v>339036</v>
      </c>
      <c r="B13" s="13" t="s">
        <v>26</v>
      </c>
      <c r="C13" s="17"/>
      <c r="D13" s="19"/>
      <c r="E13" s="19">
        <v>0</v>
      </c>
      <c r="F13" s="15">
        <f t="shared" si="0"/>
        <v>0</v>
      </c>
      <c r="G13" s="1"/>
      <c r="H13" s="1"/>
      <c r="I13" s="1"/>
      <c r="J13" s="1"/>
      <c r="K13" s="1"/>
      <c r="L13" s="1"/>
      <c r="M13" s="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4">
      <c r="A14" s="12">
        <v>339039</v>
      </c>
      <c r="B14" s="13" t="s">
        <v>27</v>
      </c>
      <c r="C14" s="17">
        <v>0</v>
      </c>
      <c r="D14" s="19">
        <v>5000</v>
      </c>
      <c r="E14" s="19">
        <v>0</v>
      </c>
      <c r="F14" s="15">
        <f t="shared" si="0"/>
        <v>5000</v>
      </c>
      <c r="G14" s="1"/>
      <c r="H14" s="1"/>
      <c r="I14" s="1"/>
      <c r="J14" s="1"/>
      <c r="K14" s="1"/>
      <c r="L14" s="1"/>
      <c r="M14" s="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4">
      <c r="A15" s="12"/>
      <c r="B15" s="13"/>
      <c r="C15" s="17"/>
      <c r="D15" s="19"/>
      <c r="E15" s="19">
        <v>0</v>
      </c>
      <c r="F15" s="15">
        <f t="shared" si="0"/>
        <v>0</v>
      </c>
      <c r="G15" s="1"/>
      <c r="H15" s="1"/>
      <c r="I15" s="1"/>
      <c r="J15" s="1"/>
      <c r="K15" s="1"/>
      <c r="L15" s="1"/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4">
      <c r="A16" s="12"/>
      <c r="B16" s="13"/>
      <c r="C16" s="17"/>
      <c r="D16" s="19"/>
      <c r="E16" s="19"/>
      <c r="F16" s="15">
        <f t="shared" si="0"/>
        <v>0</v>
      </c>
      <c r="G16" s="1"/>
      <c r="H16" s="1"/>
      <c r="I16" s="1"/>
      <c r="J16" s="1"/>
      <c r="K16" s="1"/>
      <c r="L16" s="1"/>
      <c r="M16" s="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4">
      <c r="A17" s="12"/>
      <c r="B17" s="13"/>
      <c r="C17" s="17"/>
      <c r="D17" s="19"/>
      <c r="E17" s="19"/>
      <c r="F17" s="15">
        <f t="shared" si="0"/>
        <v>0</v>
      </c>
      <c r="G17" s="1"/>
      <c r="H17" s="1"/>
      <c r="I17" s="1"/>
      <c r="J17" s="1"/>
      <c r="K17" s="1"/>
      <c r="L17" s="1"/>
      <c r="M17" s="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4">
      <c r="A18" s="9" t="s">
        <v>30</v>
      </c>
      <c r="B18" s="9" t="s">
        <v>31</v>
      </c>
      <c r="C18" s="22">
        <f t="shared" ref="C18:F18" si="1">SUM(C11:C17)</f>
        <v>0</v>
      </c>
      <c r="D18" s="22">
        <f t="shared" si="1"/>
        <v>20000</v>
      </c>
      <c r="E18" s="22">
        <f t="shared" si="1"/>
        <v>0</v>
      </c>
      <c r="F18" s="22">
        <f t="shared" si="1"/>
        <v>20000</v>
      </c>
      <c r="G18" s="1"/>
      <c r="H18" s="1"/>
      <c r="I18" s="1"/>
      <c r="J18" s="1"/>
      <c r="K18" s="1"/>
      <c r="L18" s="1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4">
      <c r="A19" s="60" t="s">
        <v>32</v>
      </c>
      <c r="B19" s="55"/>
      <c r="C19" s="55"/>
      <c r="D19" s="55"/>
      <c r="E19" s="24"/>
      <c r="F19" s="24"/>
      <c r="G19" s="24"/>
      <c r="H19" s="24"/>
      <c r="I19" s="24"/>
      <c r="J19" s="24"/>
      <c r="K19" s="24"/>
      <c r="L19" s="24"/>
      <c r="M19" s="2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4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24"/>
      <c r="B25" s="1"/>
      <c r="C25" s="1"/>
      <c r="D25" s="1"/>
      <c r="E25" s="1"/>
      <c r="F25" s="1"/>
      <c r="G25" s="1"/>
      <c r="H25" s="1"/>
      <c r="I25" s="1"/>
      <c r="J25" s="1"/>
      <c r="K25" s="1"/>
      <c r="L25" s="29"/>
      <c r="M25" s="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26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>
      <c r="A27" s="26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7">
    <mergeCell ref="F8:F10"/>
    <mergeCell ref="A19:D19"/>
    <mergeCell ref="A1:D1"/>
    <mergeCell ref="A8:B9"/>
    <mergeCell ref="C8:C10"/>
    <mergeCell ref="D8:D10"/>
    <mergeCell ref="E8:E10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1000"/>
  <sheetViews>
    <sheetView workbookViewId="0"/>
  </sheetViews>
  <sheetFormatPr defaultColWidth="14.44140625" defaultRowHeight="15" customHeight="1"/>
  <cols>
    <col min="1" max="1" width="23.5546875" customWidth="1"/>
    <col min="2" max="2" width="54.33203125" customWidth="1"/>
    <col min="3" max="4" width="23.33203125" customWidth="1"/>
    <col min="5" max="6" width="22.109375" customWidth="1"/>
    <col min="7" max="27" width="9.109375" customWidth="1"/>
  </cols>
  <sheetData>
    <row r="1" spans="1:27" ht="22.8">
      <c r="A1" s="52"/>
      <c r="B1" s="53"/>
      <c r="C1" s="53"/>
      <c r="D1" s="53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6">
      <c r="A4" s="3" t="s">
        <v>0</v>
      </c>
      <c r="B4" s="3"/>
      <c r="C4" s="4" t="s">
        <v>51</v>
      </c>
      <c r="D4" s="5">
        <v>20000</v>
      </c>
      <c r="E4" s="1"/>
      <c r="F4" s="1"/>
      <c r="G4" s="1"/>
      <c r="H4" s="1"/>
      <c r="I4" s="1"/>
      <c r="J4" s="1"/>
      <c r="K4" s="1"/>
      <c r="L4" s="1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6">
      <c r="A5" s="6"/>
      <c r="B5" s="1"/>
      <c r="C5" s="7" t="s">
        <v>5</v>
      </c>
      <c r="D5" s="5">
        <f>D4-D18</f>
        <v>0</v>
      </c>
      <c r="E5" s="1"/>
      <c r="F5" s="1"/>
      <c r="G5" s="1"/>
      <c r="H5" s="1"/>
      <c r="I5" s="1"/>
      <c r="J5" s="1"/>
      <c r="K5" s="1"/>
      <c r="L5" s="1"/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6">
      <c r="A6" s="6" t="s">
        <v>6</v>
      </c>
      <c r="B6" s="1" t="s">
        <v>52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6">
      <c r="A7" s="6" t="s">
        <v>50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4">
      <c r="A8" s="54" t="s">
        <v>14</v>
      </c>
      <c r="B8" s="55"/>
      <c r="C8" s="58" t="s">
        <v>15</v>
      </c>
      <c r="D8" s="58" t="s">
        <v>16</v>
      </c>
      <c r="E8" s="58" t="s">
        <v>17</v>
      </c>
      <c r="F8" s="58" t="s">
        <v>18</v>
      </c>
      <c r="G8" s="1"/>
      <c r="H8" s="1"/>
      <c r="I8" s="1"/>
      <c r="J8" s="1"/>
      <c r="K8" s="1"/>
      <c r="L8" s="1"/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4">
      <c r="A9" s="56"/>
      <c r="B9" s="57"/>
      <c r="C9" s="59"/>
      <c r="D9" s="59"/>
      <c r="E9" s="59"/>
      <c r="F9" s="59"/>
      <c r="G9" s="1"/>
      <c r="H9" s="1"/>
      <c r="I9" s="1"/>
      <c r="J9" s="1"/>
      <c r="K9" s="1"/>
      <c r="L9" s="1"/>
      <c r="M9" s="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4">
      <c r="A10" s="9" t="s">
        <v>19</v>
      </c>
      <c r="B10" s="10" t="s">
        <v>20</v>
      </c>
      <c r="C10" s="56"/>
      <c r="D10" s="56"/>
      <c r="E10" s="56"/>
      <c r="F10" s="56"/>
      <c r="G10" s="1"/>
      <c r="H10" s="1"/>
      <c r="I10" s="1"/>
      <c r="J10" s="1"/>
      <c r="K10" s="1"/>
      <c r="L10" s="1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4">
      <c r="A11" s="12" t="s">
        <v>21</v>
      </c>
      <c r="B11" s="13" t="s">
        <v>22</v>
      </c>
      <c r="C11" s="14"/>
      <c r="D11" s="15">
        <v>9000</v>
      </c>
      <c r="E11" s="15">
        <v>0</v>
      </c>
      <c r="F11" s="15">
        <f t="shared" ref="F11:F17" si="0">D11-E11</f>
        <v>9000</v>
      </c>
      <c r="G11" s="1"/>
      <c r="H11" s="1"/>
      <c r="I11" s="1"/>
      <c r="J11" s="1"/>
      <c r="K11" s="1"/>
      <c r="L11" s="1"/>
      <c r="M11" s="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4">
      <c r="A12" s="12">
        <v>339033</v>
      </c>
      <c r="B12" s="13" t="s">
        <v>25</v>
      </c>
      <c r="C12" s="17"/>
      <c r="D12" s="19">
        <v>11000</v>
      </c>
      <c r="E12" s="19">
        <v>0</v>
      </c>
      <c r="F12" s="15">
        <f t="shared" si="0"/>
        <v>11000</v>
      </c>
      <c r="G12" s="1"/>
      <c r="H12" s="1"/>
      <c r="I12" s="1"/>
      <c r="J12" s="1"/>
      <c r="K12" s="1"/>
      <c r="L12" s="1"/>
      <c r="M12" s="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4">
      <c r="A13" s="12">
        <v>339036</v>
      </c>
      <c r="B13" s="13" t="s">
        <v>26</v>
      </c>
      <c r="C13" s="17"/>
      <c r="D13" s="19"/>
      <c r="E13" s="19">
        <v>0</v>
      </c>
      <c r="F13" s="15">
        <f t="shared" si="0"/>
        <v>0</v>
      </c>
      <c r="G13" s="1"/>
      <c r="H13" s="1"/>
      <c r="I13" s="1"/>
      <c r="J13" s="1"/>
      <c r="K13" s="1"/>
      <c r="L13" s="1"/>
      <c r="M13" s="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4">
      <c r="A14" s="12">
        <v>339039</v>
      </c>
      <c r="B14" s="13" t="s">
        <v>27</v>
      </c>
      <c r="C14" s="17">
        <v>0</v>
      </c>
      <c r="D14" s="19"/>
      <c r="E14" s="19">
        <v>0</v>
      </c>
      <c r="F14" s="15">
        <f t="shared" si="0"/>
        <v>0</v>
      </c>
      <c r="G14" s="1"/>
      <c r="H14" s="1"/>
      <c r="I14" s="1"/>
      <c r="J14" s="1"/>
      <c r="K14" s="1"/>
      <c r="L14" s="1"/>
      <c r="M14" s="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4">
      <c r="A15" s="12"/>
      <c r="B15" s="13"/>
      <c r="C15" s="17"/>
      <c r="D15" s="19"/>
      <c r="E15" s="19">
        <v>0</v>
      </c>
      <c r="F15" s="15">
        <f t="shared" si="0"/>
        <v>0</v>
      </c>
      <c r="G15" s="1"/>
      <c r="H15" s="1"/>
      <c r="I15" s="1"/>
      <c r="J15" s="1"/>
      <c r="K15" s="1"/>
      <c r="L15" s="1"/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4">
      <c r="A16" s="12"/>
      <c r="B16" s="13"/>
      <c r="C16" s="17"/>
      <c r="D16" s="19"/>
      <c r="E16" s="19"/>
      <c r="F16" s="15">
        <f t="shared" si="0"/>
        <v>0</v>
      </c>
      <c r="G16" s="1"/>
      <c r="H16" s="1"/>
      <c r="I16" s="1"/>
      <c r="J16" s="1"/>
      <c r="K16" s="1"/>
      <c r="L16" s="1"/>
      <c r="M16" s="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4">
      <c r="A17" s="12"/>
      <c r="B17" s="13"/>
      <c r="C17" s="17"/>
      <c r="D17" s="19"/>
      <c r="E17" s="19"/>
      <c r="F17" s="15">
        <f t="shared" si="0"/>
        <v>0</v>
      </c>
      <c r="G17" s="1"/>
      <c r="H17" s="1"/>
      <c r="I17" s="1"/>
      <c r="J17" s="1"/>
      <c r="K17" s="1"/>
      <c r="L17" s="1"/>
      <c r="M17" s="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4">
      <c r="A18" s="9" t="s">
        <v>30</v>
      </c>
      <c r="B18" s="9" t="s">
        <v>31</v>
      </c>
      <c r="C18" s="22">
        <f t="shared" ref="C18:F18" si="1">SUM(C11:C17)</f>
        <v>0</v>
      </c>
      <c r="D18" s="22">
        <f t="shared" si="1"/>
        <v>20000</v>
      </c>
      <c r="E18" s="22">
        <f t="shared" si="1"/>
        <v>0</v>
      </c>
      <c r="F18" s="22">
        <f t="shared" si="1"/>
        <v>20000</v>
      </c>
      <c r="G18" s="1"/>
      <c r="H18" s="1"/>
      <c r="I18" s="1"/>
      <c r="J18" s="1"/>
      <c r="K18" s="1"/>
      <c r="L18" s="1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4">
      <c r="A19" s="60" t="s">
        <v>32</v>
      </c>
      <c r="B19" s="55"/>
      <c r="C19" s="55"/>
      <c r="D19" s="55"/>
      <c r="E19" s="24"/>
      <c r="F19" s="24"/>
      <c r="G19" s="24"/>
      <c r="H19" s="24"/>
      <c r="I19" s="24"/>
      <c r="J19" s="24"/>
      <c r="K19" s="24"/>
      <c r="L19" s="24"/>
      <c r="M19" s="2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4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24"/>
      <c r="B25" s="1"/>
      <c r="C25" s="1"/>
      <c r="D25" s="1"/>
      <c r="E25" s="1"/>
      <c r="F25" s="1"/>
      <c r="G25" s="1"/>
      <c r="H25" s="1"/>
      <c r="I25" s="1"/>
      <c r="J25" s="1"/>
      <c r="K25" s="1"/>
      <c r="L25" s="29"/>
      <c r="M25" s="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26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>
      <c r="A27" s="26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7">
    <mergeCell ref="F8:F10"/>
    <mergeCell ref="A19:D19"/>
    <mergeCell ref="A1:D1"/>
    <mergeCell ref="A8:B9"/>
    <mergeCell ref="C8:C10"/>
    <mergeCell ref="D8:D10"/>
    <mergeCell ref="E8:E10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42"/>
  <sheetViews>
    <sheetView workbookViewId="0"/>
  </sheetViews>
  <sheetFormatPr defaultColWidth="14.44140625" defaultRowHeight="15" customHeight="1"/>
  <cols>
    <col min="2" max="2" width="34.6640625" customWidth="1"/>
    <col min="4" max="4" width="53.6640625" customWidth="1"/>
    <col min="5" max="5" width="17.109375" customWidth="1"/>
  </cols>
  <sheetData>
    <row r="1" spans="1:6">
      <c r="A1" s="61" t="s">
        <v>53</v>
      </c>
      <c r="B1" s="53"/>
      <c r="C1" s="53"/>
      <c r="D1" s="53"/>
      <c r="E1" s="53"/>
      <c r="F1" s="53"/>
    </row>
    <row r="2" spans="1:6">
      <c r="A2" s="30"/>
      <c r="B2" s="30"/>
      <c r="C2" s="30"/>
      <c r="D2" s="30"/>
      <c r="E2" s="30"/>
      <c r="F2" s="30"/>
    </row>
    <row r="3" spans="1:6">
      <c r="A3" s="62" t="s">
        <v>54</v>
      </c>
      <c r="B3" s="53"/>
      <c r="C3" s="53"/>
      <c r="D3" s="30"/>
      <c r="E3" s="30"/>
      <c r="F3" s="30"/>
    </row>
    <row r="4" spans="1:6">
      <c r="A4" s="30"/>
      <c r="B4" s="30"/>
      <c r="C4" s="30"/>
      <c r="D4" s="30"/>
      <c r="E4" s="30"/>
      <c r="F4" s="30"/>
    </row>
    <row r="5" spans="1:6">
      <c r="A5" s="31" t="s">
        <v>55</v>
      </c>
      <c r="B5" s="30"/>
      <c r="C5" s="30"/>
      <c r="D5" s="30"/>
      <c r="E5" s="30"/>
      <c r="F5" s="30"/>
    </row>
    <row r="6" spans="1:6">
      <c r="A6" s="63" t="s">
        <v>56</v>
      </c>
      <c r="B6" s="53"/>
      <c r="C6" s="53"/>
      <c r="D6" s="53"/>
      <c r="E6" s="53"/>
      <c r="F6" s="30"/>
    </row>
    <row r="7" spans="1:6">
      <c r="A7" s="30"/>
      <c r="B7" s="30"/>
      <c r="C7" s="30"/>
      <c r="D7" s="30"/>
      <c r="E7" s="30"/>
      <c r="F7" s="30"/>
    </row>
    <row r="8" spans="1:6">
      <c r="A8" s="31" t="s">
        <v>57</v>
      </c>
      <c r="B8" s="30"/>
      <c r="C8" s="30"/>
      <c r="D8" s="30"/>
      <c r="E8" s="30"/>
      <c r="F8" s="30"/>
    </row>
    <row r="9" spans="1:6">
      <c r="A9" s="63" t="s">
        <v>58</v>
      </c>
      <c r="B9" s="53"/>
      <c r="C9" s="53"/>
      <c r="D9" s="53"/>
      <c r="E9" s="53"/>
      <c r="F9" s="30"/>
    </row>
    <row r="10" spans="1:6">
      <c r="A10" s="30"/>
      <c r="B10" s="30"/>
      <c r="C10" s="30"/>
      <c r="D10" s="30"/>
      <c r="E10" s="30"/>
      <c r="F10" s="30"/>
    </row>
    <row r="11" spans="1:6">
      <c r="A11" s="64" t="s">
        <v>59</v>
      </c>
      <c r="B11" s="65"/>
      <c r="C11" s="69" t="s">
        <v>60</v>
      </c>
      <c r="D11" s="65"/>
      <c r="E11" s="32" t="s">
        <v>61</v>
      </c>
      <c r="F11" s="33">
        <v>2026</v>
      </c>
    </row>
    <row r="12" spans="1:6">
      <c r="A12" s="66"/>
      <c r="B12" s="53"/>
      <c r="C12" s="70"/>
      <c r="D12" s="53"/>
      <c r="E12" s="34" t="s">
        <v>62</v>
      </c>
      <c r="F12" s="35" t="s">
        <v>63</v>
      </c>
    </row>
    <row r="13" spans="1:6">
      <c r="A13" s="67"/>
      <c r="B13" s="68"/>
      <c r="C13" s="71"/>
      <c r="D13" s="68"/>
      <c r="E13" s="34" t="s">
        <v>64</v>
      </c>
      <c r="F13" s="35" t="s">
        <v>65</v>
      </c>
    </row>
    <row r="14" spans="1:6">
      <c r="A14" s="72" t="s">
        <v>66</v>
      </c>
      <c r="B14" s="76" t="s">
        <v>67</v>
      </c>
      <c r="C14" s="36">
        <v>339014</v>
      </c>
      <c r="D14" s="36" t="s">
        <v>68</v>
      </c>
      <c r="E14" s="36" t="s">
        <v>69</v>
      </c>
      <c r="F14" s="25">
        <v>20000</v>
      </c>
    </row>
    <row r="15" spans="1:6">
      <c r="A15" s="66"/>
      <c r="B15" s="77"/>
      <c r="C15" s="36">
        <v>339018</v>
      </c>
      <c r="D15" s="36" t="s">
        <v>70</v>
      </c>
      <c r="E15" s="36" t="s">
        <v>69</v>
      </c>
      <c r="F15" s="25">
        <v>5000</v>
      </c>
    </row>
    <row r="16" spans="1:6">
      <c r="A16" s="73"/>
      <c r="B16" s="78"/>
      <c r="C16" s="74" t="s">
        <v>71</v>
      </c>
      <c r="D16" s="75"/>
      <c r="E16" s="37"/>
      <c r="F16" s="38">
        <v>25000</v>
      </c>
    </row>
    <row r="17" spans="1:10">
      <c r="A17" s="72" t="s">
        <v>72</v>
      </c>
      <c r="B17" s="76" t="s">
        <v>73</v>
      </c>
      <c r="C17" s="36">
        <v>339014</v>
      </c>
      <c r="D17" s="36" t="s">
        <v>68</v>
      </c>
      <c r="E17" s="36" t="s">
        <v>69</v>
      </c>
      <c r="F17" s="25">
        <v>15000</v>
      </c>
    </row>
    <row r="18" spans="1:10">
      <c r="A18" s="66"/>
      <c r="B18" s="77"/>
      <c r="C18" s="36">
        <v>339033</v>
      </c>
      <c r="D18" s="36" t="s">
        <v>74</v>
      </c>
      <c r="E18" s="36" t="s">
        <v>69</v>
      </c>
      <c r="F18" s="25">
        <v>25000</v>
      </c>
    </row>
    <row r="19" spans="1:10">
      <c r="A19" s="66"/>
      <c r="B19" s="77"/>
      <c r="C19" s="36">
        <v>339092</v>
      </c>
      <c r="D19" s="36" t="s">
        <v>75</v>
      </c>
      <c r="E19" s="36" t="s">
        <v>69</v>
      </c>
      <c r="F19" s="25">
        <v>5215.17</v>
      </c>
      <c r="J19" s="9">
        <f>SUM(J12:J18)</f>
        <v>0</v>
      </c>
    </row>
    <row r="20" spans="1:10">
      <c r="A20" s="73"/>
      <c r="B20" s="78"/>
      <c r="C20" s="74" t="s">
        <v>71</v>
      </c>
      <c r="D20" s="75"/>
      <c r="E20" s="37"/>
      <c r="F20" s="38">
        <v>45215.17</v>
      </c>
    </row>
    <row r="21" spans="1:10">
      <c r="A21" s="72" t="s">
        <v>76</v>
      </c>
      <c r="B21" s="76" t="s">
        <v>77</v>
      </c>
      <c r="C21" s="36">
        <v>339014</v>
      </c>
      <c r="D21" s="36" t="s">
        <v>68</v>
      </c>
      <c r="E21" s="36" t="s">
        <v>69</v>
      </c>
      <c r="F21" s="25">
        <v>10000</v>
      </c>
    </row>
    <row r="22" spans="1:10">
      <c r="A22" s="66"/>
      <c r="B22" s="77"/>
      <c r="C22" s="36">
        <v>339033</v>
      </c>
      <c r="D22" s="36" t="s">
        <v>74</v>
      </c>
      <c r="E22" s="36" t="s">
        <v>69</v>
      </c>
      <c r="F22" s="25">
        <v>10000</v>
      </c>
    </row>
    <row r="23" spans="1:10">
      <c r="A23" s="66"/>
      <c r="B23" s="77"/>
      <c r="C23" s="36">
        <v>339039</v>
      </c>
      <c r="D23" s="36" t="s">
        <v>78</v>
      </c>
      <c r="E23" s="36" t="s">
        <v>69</v>
      </c>
      <c r="F23" s="25">
        <v>10401.9</v>
      </c>
    </row>
    <row r="24" spans="1:10">
      <c r="A24" s="66"/>
      <c r="B24" s="77"/>
      <c r="C24" s="36">
        <v>339040</v>
      </c>
      <c r="D24" s="36" t="s">
        <v>79</v>
      </c>
      <c r="E24" s="36" t="s">
        <v>69</v>
      </c>
      <c r="F24" s="25">
        <v>4931.66</v>
      </c>
    </row>
    <row r="25" spans="1:10">
      <c r="A25" s="66"/>
      <c r="B25" s="77"/>
      <c r="C25" s="36">
        <v>339092</v>
      </c>
      <c r="D25" s="36" t="s">
        <v>75</v>
      </c>
      <c r="E25" s="36" t="s">
        <v>69</v>
      </c>
      <c r="F25" s="25">
        <v>2868.94</v>
      </c>
    </row>
    <row r="26" spans="1:10">
      <c r="A26" s="73"/>
      <c r="B26" s="78"/>
      <c r="C26" s="74" t="s">
        <v>71</v>
      </c>
      <c r="D26" s="75"/>
      <c r="E26" s="37"/>
      <c r="F26" s="38">
        <v>38202.5</v>
      </c>
    </row>
    <row r="27" spans="1:10">
      <c r="A27" s="72" t="s">
        <v>80</v>
      </c>
      <c r="B27" s="76" t="s">
        <v>81</v>
      </c>
      <c r="C27" s="36">
        <v>339014</v>
      </c>
      <c r="D27" s="36" t="s">
        <v>68</v>
      </c>
      <c r="E27" s="36" t="s">
        <v>69</v>
      </c>
      <c r="F27" s="25">
        <v>10000</v>
      </c>
    </row>
    <row r="28" spans="1:10">
      <c r="A28" s="66"/>
      <c r="B28" s="77"/>
      <c r="C28" s="36">
        <v>339033</v>
      </c>
      <c r="D28" s="36" t="s">
        <v>74</v>
      </c>
      <c r="E28" s="36" t="s">
        <v>69</v>
      </c>
      <c r="F28" s="25">
        <v>15000</v>
      </c>
    </row>
    <row r="29" spans="1:10">
      <c r="A29" s="73"/>
      <c r="B29" s="78"/>
      <c r="C29" s="74" t="s">
        <v>71</v>
      </c>
      <c r="D29" s="75"/>
      <c r="E29" s="37"/>
      <c r="F29" s="38">
        <v>25000</v>
      </c>
    </row>
    <row r="30" spans="1:10">
      <c r="A30" s="72" t="s">
        <v>82</v>
      </c>
      <c r="B30" s="76" t="s">
        <v>83</v>
      </c>
      <c r="C30" s="36">
        <v>339014</v>
      </c>
      <c r="D30" s="36" t="s">
        <v>68</v>
      </c>
      <c r="E30" s="36" t="s">
        <v>69</v>
      </c>
      <c r="F30" s="25">
        <v>10000</v>
      </c>
    </row>
    <row r="31" spans="1:10">
      <c r="A31" s="66"/>
      <c r="B31" s="77"/>
      <c r="C31" s="36">
        <v>339033</v>
      </c>
      <c r="D31" s="36" t="s">
        <v>74</v>
      </c>
      <c r="E31" s="36" t="s">
        <v>69</v>
      </c>
      <c r="F31" s="25">
        <v>10000</v>
      </c>
    </row>
    <row r="32" spans="1:10">
      <c r="A32" s="73"/>
      <c r="B32" s="78"/>
      <c r="C32" s="74" t="s">
        <v>71</v>
      </c>
      <c r="D32" s="75"/>
      <c r="E32" s="37"/>
      <c r="F32" s="38">
        <v>20000</v>
      </c>
    </row>
    <row r="33" spans="1:6">
      <c r="A33" s="72" t="s">
        <v>84</v>
      </c>
      <c r="B33" s="76" t="s">
        <v>85</v>
      </c>
      <c r="C33" s="36">
        <v>339014</v>
      </c>
      <c r="D33" s="36" t="s">
        <v>68</v>
      </c>
      <c r="E33" s="36" t="s">
        <v>69</v>
      </c>
      <c r="F33" s="25">
        <v>12500</v>
      </c>
    </row>
    <row r="34" spans="1:6">
      <c r="A34" s="66"/>
      <c r="B34" s="77"/>
      <c r="C34" s="36">
        <v>339033</v>
      </c>
      <c r="D34" s="36" t="s">
        <v>74</v>
      </c>
      <c r="E34" s="36" t="s">
        <v>69</v>
      </c>
      <c r="F34" s="25">
        <v>12500</v>
      </c>
    </row>
    <row r="35" spans="1:6">
      <c r="A35" s="66"/>
      <c r="B35" s="77"/>
      <c r="C35" s="36">
        <v>339039</v>
      </c>
      <c r="D35" s="36" t="s">
        <v>78</v>
      </c>
      <c r="E35" s="36" t="s">
        <v>69</v>
      </c>
      <c r="F35" s="25">
        <v>1681.5</v>
      </c>
    </row>
    <row r="36" spans="1:6">
      <c r="A36" s="73"/>
      <c r="B36" s="78"/>
      <c r="C36" s="74" t="s">
        <v>71</v>
      </c>
      <c r="D36" s="75"/>
      <c r="E36" s="37"/>
      <c r="F36" s="38">
        <v>26681.5</v>
      </c>
    </row>
    <row r="37" spans="1:6">
      <c r="A37" s="72" t="s">
        <v>86</v>
      </c>
      <c r="B37" s="76" t="s">
        <v>87</v>
      </c>
      <c r="C37" s="36">
        <v>339014</v>
      </c>
      <c r="D37" s="36" t="s">
        <v>68</v>
      </c>
      <c r="E37" s="36" t="s">
        <v>69</v>
      </c>
      <c r="F37" s="25">
        <v>10000</v>
      </c>
    </row>
    <row r="38" spans="1:6">
      <c r="A38" s="66"/>
      <c r="B38" s="77"/>
      <c r="C38" s="36">
        <v>339047</v>
      </c>
      <c r="D38" s="36" t="s">
        <v>88</v>
      </c>
      <c r="E38" s="36" t="s">
        <v>69</v>
      </c>
      <c r="F38" s="39">
        <v>352.78</v>
      </c>
    </row>
    <row r="39" spans="1:6">
      <c r="A39" s="66"/>
      <c r="B39" s="77"/>
      <c r="C39" s="36">
        <v>339092</v>
      </c>
      <c r="D39" s="36" t="s">
        <v>75</v>
      </c>
      <c r="E39" s="36" t="s">
        <v>69</v>
      </c>
      <c r="F39" s="25">
        <v>1686.91</v>
      </c>
    </row>
    <row r="40" spans="1:6">
      <c r="A40" s="73"/>
      <c r="B40" s="78"/>
      <c r="C40" s="74" t="s">
        <v>71</v>
      </c>
      <c r="D40" s="75"/>
      <c r="E40" s="37"/>
      <c r="F40" s="38">
        <v>12039.69</v>
      </c>
    </row>
    <row r="41" spans="1:6">
      <c r="A41" s="79" t="s">
        <v>71</v>
      </c>
      <c r="B41" s="80"/>
      <c r="C41" s="81"/>
      <c r="D41" s="80"/>
      <c r="E41" s="40"/>
      <c r="F41" s="41">
        <v>192138.86</v>
      </c>
    </row>
    <row r="42" spans="1:6">
      <c r="A42" s="61" t="s">
        <v>89</v>
      </c>
      <c r="B42" s="53"/>
      <c r="C42" s="53"/>
      <c r="D42" s="53"/>
      <c r="E42" s="53"/>
      <c r="F42" s="53"/>
    </row>
  </sheetData>
  <mergeCells count="30">
    <mergeCell ref="A42:F42"/>
    <mergeCell ref="A21:A26"/>
    <mergeCell ref="A27:A29"/>
    <mergeCell ref="B27:B29"/>
    <mergeCell ref="A30:A32"/>
    <mergeCell ref="B30:B32"/>
    <mergeCell ref="A33:A36"/>
    <mergeCell ref="B33:B36"/>
    <mergeCell ref="A37:A40"/>
    <mergeCell ref="B37:B40"/>
    <mergeCell ref="C40:D40"/>
    <mergeCell ref="A41:B41"/>
    <mergeCell ref="C41:D41"/>
    <mergeCell ref="A14:A16"/>
    <mergeCell ref="C29:D29"/>
    <mergeCell ref="C32:D32"/>
    <mergeCell ref="C36:D36"/>
    <mergeCell ref="B14:B16"/>
    <mergeCell ref="C16:D16"/>
    <mergeCell ref="A17:A20"/>
    <mergeCell ref="B17:B20"/>
    <mergeCell ref="C20:D20"/>
    <mergeCell ref="B21:B26"/>
    <mergeCell ref="C26:D26"/>
    <mergeCell ref="A1:F1"/>
    <mergeCell ref="A3:C3"/>
    <mergeCell ref="A6:E6"/>
    <mergeCell ref="A9:E9"/>
    <mergeCell ref="A11:B13"/>
    <mergeCell ref="C11:D13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G57"/>
  <sheetViews>
    <sheetView workbookViewId="0"/>
  </sheetViews>
  <sheetFormatPr defaultColWidth="14.44140625" defaultRowHeight="15" customHeight="1"/>
  <cols>
    <col min="2" max="2" width="36.33203125" customWidth="1"/>
    <col min="4" max="4" width="31.5546875" customWidth="1"/>
    <col min="5" max="5" width="86.5546875" customWidth="1"/>
  </cols>
  <sheetData>
    <row r="1" spans="1:7">
      <c r="A1" s="61" t="s">
        <v>53</v>
      </c>
      <c r="B1" s="53"/>
      <c r="C1" s="53"/>
      <c r="D1" s="53"/>
      <c r="E1" s="53"/>
      <c r="F1" s="53"/>
      <c r="G1" s="53"/>
    </row>
    <row r="2" spans="1:7">
      <c r="A2" s="30"/>
      <c r="B2" s="30"/>
      <c r="C2" s="30"/>
      <c r="D2" s="30"/>
      <c r="E2" s="30"/>
      <c r="F2" s="30"/>
      <c r="G2" s="30"/>
    </row>
    <row r="3" spans="1:7">
      <c r="A3" s="62" t="s">
        <v>90</v>
      </c>
      <c r="B3" s="53"/>
      <c r="C3" s="53"/>
      <c r="D3" s="30"/>
      <c r="E3" s="30"/>
      <c r="F3" s="30"/>
      <c r="G3" s="30"/>
    </row>
    <row r="4" spans="1:7">
      <c r="A4" s="30"/>
      <c r="B4" s="30"/>
      <c r="C4" s="30"/>
      <c r="D4" s="30"/>
      <c r="E4" s="30"/>
      <c r="F4" s="30"/>
      <c r="G4" s="30"/>
    </row>
    <row r="5" spans="1:7">
      <c r="A5" s="31" t="s">
        <v>55</v>
      </c>
      <c r="B5" s="30"/>
      <c r="C5" s="30"/>
      <c r="D5" s="30"/>
      <c r="E5" s="30"/>
      <c r="F5" s="30"/>
      <c r="G5" s="30"/>
    </row>
    <row r="6" spans="1:7">
      <c r="A6" s="63" t="s">
        <v>91</v>
      </c>
      <c r="B6" s="53"/>
      <c r="C6" s="53"/>
      <c r="D6" s="53"/>
      <c r="E6" s="53"/>
      <c r="F6" s="53"/>
      <c r="G6" s="53"/>
    </row>
    <row r="7" spans="1:7">
      <c r="A7" s="30"/>
      <c r="B7" s="30"/>
      <c r="C7" s="30"/>
      <c r="D7" s="30"/>
      <c r="E7" s="30"/>
      <c r="F7" s="30"/>
      <c r="G7" s="30"/>
    </row>
    <row r="8" spans="1:7">
      <c r="A8" s="31" t="s">
        <v>57</v>
      </c>
      <c r="B8" s="30"/>
      <c r="C8" s="30"/>
      <c r="D8" s="30"/>
      <c r="E8" s="30"/>
      <c r="F8" s="30"/>
      <c r="G8" s="30"/>
    </row>
    <row r="9" spans="1:7">
      <c r="A9" s="63" t="s">
        <v>58</v>
      </c>
      <c r="B9" s="53"/>
      <c r="C9" s="53"/>
      <c r="D9" s="53"/>
      <c r="E9" s="53"/>
      <c r="F9" s="30"/>
      <c r="G9" s="30"/>
    </row>
    <row r="10" spans="1:7">
      <c r="A10" s="30"/>
      <c r="B10" s="30"/>
      <c r="C10" s="30"/>
      <c r="D10" s="30"/>
      <c r="E10" s="30"/>
      <c r="F10" s="30"/>
      <c r="G10" s="30"/>
    </row>
    <row r="11" spans="1:7">
      <c r="A11" s="63" t="s">
        <v>92</v>
      </c>
      <c r="B11" s="53"/>
      <c r="C11" s="30"/>
      <c r="D11" s="30"/>
      <c r="E11" s="30"/>
      <c r="F11" s="30"/>
      <c r="G11" s="30"/>
    </row>
    <row r="12" spans="1:7">
      <c r="A12" s="30"/>
      <c r="B12" s="30"/>
      <c r="C12" s="30"/>
      <c r="D12" s="30"/>
      <c r="E12" s="30"/>
      <c r="F12" s="30"/>
      <c r="G12" s="30"/>
    </row>
    <row r="13" spans="1:7">
      <c r="A13" s="64" t="s">
        <v>59</v>
      </c>
      <c r="B13" s="65"/>
      <c r="C13" s="69" t="s">
        <v>93</v>
      </c>
      <c r="D13" s="65"/>
      <c r="E13" s="32" t="s">
        <v>61</v>
      </c>
      <c r="F13" s="84">
        <v>2025</v>
      </c>
      <c r="G13" s="85"/>
    </row>
    <row r="14" spans="1:7">
      <c r="A14" s="66"/>
      <c r="B14" s="53"/>
      <c r="C14" s="70"/>
      <c r="D14" s="53"/>
      <c r="E14" s="34" t="s">
        <v>62</v>
      </c>
      <c r="F14" s="42" t="s">
        <v>94</v>
      </c>
      <c r="G14" s="35" t="s">
        <v>95</v>
      </c>
    </row>
    <row r="15" spans="1:7">
      <c r="A15" s="67"/>
      <c r="B15" s="68"/>
      <c r="C15" s="71"/>
      <c r="D15" s="68"/>
      <c r="E15" s="34" t="s">
        <v>96</v>
      </c>
      <c r="F15" s="42" t="s">
        <v>65</v>
      </c>
      <c r="G15" s="35" t="s">
        <v>65</v>
      </c>
    </row>
    <row r="16" spans="1:7">
      <c r="A16" s="72" t="s">
        <v>66</v>
      </c>
      <c r="B16" s="76" t="s">
        <v>67</v>
      </c>
      <c r="C16" s="36">
        <v>33901414</v>
      </c>
      <c r="D16" s="36" t="s">
        <v>97</v>
      </c>
      <c r="E16" s="36" t="s">
        <v>98</v>
      </c>
      <c r="F16" s="43">
        <v>33350.519999999997</v>
      </c>
      <c r="G16" s="25">
        <v>25012.89</v>
      </c>
    </row>
    <row r="17" spans="1:7">
      <c r="A17" s="66"/>
      <c r="B17" s="77"/>
      <c r="C17" s="36">
        <v>339018</v>
      </c>
      <c r="D17" s="82" t="s">
        <v>70</v>
      </c>
      <c r="E17" s="83"/>
      <c r="F17" s="44">
        <v>14740</v>
      </c>
      <c r="G17" s="25">
        <v>11055</v>
      </c>
    </row>
    <row r="18" spans="1:7">
      <c r="A18" s="73"/>
      <c r="B18" s="78"/>
      <c r="C18" s="74" t="s">
        <v>71</v>
      </c>
      <c r="D18" s="75"/>
      <c r="E18" s="37"/>
      <c r="F18" s="45">
        <f>F17+F16</f>
        <v>48090.52</v>
      </c>
      <c r="G18" s="45">
        <f>SUM(G16:G17)</f>
        <v>36067.89</v>
      </c>
    </row>
    <row r="19" spans="1:7">
      <c r="A19" s="72" t="s">
        <v>72</v>
      </c>
      <c r="B19" s="76" t="s">
        <v>73</v>
      </c>
      <c r="C19" s="36">
        <v>33901414</v>
      </c>
      <c r="D19" s="36" t="s">
        <v>97</v>
      </c>
      <c r="E19" s="36" t="s">
        <v>99</v>
      </c>
      <c r="F19" s="43">
        <v>46436.83</v>
      </c>
      <c r="G19" s="25">
        <v>34827.620000000003</v>
      </c>
    </row>
    <row r="20" spans="1:7">
      <c r="A20" s="66"/>
      <c r="B20" s="77"/>
      <c r="C20" s="36">
        <v>33903301</v>
      </c>
      <c r="D20" s="36" t="s">
        <v>100</v>
      </c>
      <c r="E20" s="36" t="s">
        <v>101</v>
      </c>
      <c r="F20" s="43">
        <v>77663.63</v>
      </c>
      <c r="G20" s="25">
        <v>58247.72</v>
      </c>
    </row>
    <row r="21" spans="1:7">
      <c r="A21" s="66"/>
      <c r="B21" s="77"/>
      <c r="C21" s="36">
        <v>33903923</v>
      </c>
      <c r="D21" s="36" t="s">
        <v>102</v>
      </c>
      <c r="E21" s="36" t="s">
        <v>103</v>
      </c>
      <c r="F21" s="43">
        <v>2354.1</v>
      </c>
      <c r="G21" s="25">
        <v>1765.58</v>
      </c>
    </row>
    <row r="22" spans="1:7">
      <c r="A22" s="73"/>
      <c r="B22" s="78"/>
      <c r="C22" s="74" t="s">
        <v>71</v>
      </c>
      <c r="D22" s="75"/>
      <c r="E22" s="37"/>
      <c r="F22" s="45">
        <f t="shared" ref="F22:G22" si="0">SUM(F19:F21)</f>
        <v>126454.56000000001</v>
      </c>
      <c r="G22" s="45">
        <f t="shared" si="0"/>
        <v>94840.92</v>
      </c>
    </row>
    <row r="23" spans="1:7">
      <c r="A23" s="72" t="s">
        <v>104</v>
      </c>
      <c r="B23" s="76" t="s">
        <v>105</v>
      </c>
      <c r="C23" s="36">
        <v>33901414</v>
      </c>
      <c r="D23" s="36" t="s">
        <v>97</v>
      </c>
      <c r="E23" s="36" t="s">
        <v>106</v>
      </c>
      <c r="F23" s="43">
        <v>19575.05</v>
      </c>
      <c r="G23" s="25">
        <v>14681.29</v>
      </c>
    </row>
    <row r="24" spans="1:7">
      <c r="A24" s="66"/>
      <c r="B24" s="77"/>
      <c r="C24" s="36">
        <v>33903301</v>
      </c>
      <c r="D24" s="36" t="s">
        <v>100</v>
      </c>
      <c r="E24" s="36" t="s">
        <v>107</v>
      </c>
      <c r="F24" s="43">
        <v>15672.06</v>
      </c>
      <c r="G24" s="25">
        <v>11754.05</v>
      </c>
    </row>
    <row r="25" spans="1:7">
      <c r="A25" s="73"/>
      <c r="B25" s="78"/>
      <c r="C25" s="74" t="s">
        <v>71</v>
      </c>
      <c r="D25" s="75"/>
      <c r="E25" s="37"/>
      <c r="F25" s="45">
        <f t="shared" ref="F25:G25" si="1">SUM(F23:F24)</f>
        <v>35247.11</v>
      </c>
      <c r="G25" s="45">
        <f t="shared" si="1"/>
        <v>26435.34</v>
      </c>
    </row>
    <row r="26" spans="1:7">
      <c r="A26" s="72" t="s">
        <v>76</v>
      </c>
      <c r="B26" s="76" t="s">
        <v>77</v>
      </c>
      <c r="C26" s="36">
        <v>33901414</v>
      </c>
      <c r="D26" s="36" t="s">
        <v>97</v>
      </c>
      <c r="E26" s="36" t="s">
        <v>108</v>
      </c>
      <c r="F26" s="43">
        <v>22733.45</v>
      </c>
      <c r="G26" s="25">
        <v>17050.09</v>
      </c>
    </row>
    <row r="27" spans="1:7">
      <c r="A27" s="66"/>
      <c r="B27" s="77"/>
      <c r="C27" s="36">
        <v>33903301</v>
      </c>
      <c r="D27" s="36" t="s">
        <v>100</v>
      </c>
      <c r="E27" s="36" t="s">
        <v>109</v>
      </c>
      <c r="F27" s="43">
        <v>36985.050000000003</v>
      </c>
      <c r="G27" s="25">
        <v>27738.79</v>
      </c>
    </row>
    <row r="28" spans="1:7">
      <c r="A28" s="66"/>
      <c r="B28" s="77"/>
      <c r="C28" s="46">
        <v>33903905</v>
      </c>
      <c r="D28" s="46" t="s">
        <v>110</v>
      </c>
      <c r="E28" s="46" t="s">
        <v>111</v>
      </c>
      <c r="F28" s="47">
        <v>34344</v>
      </c>
      <c r="G28" s="48">
        <v>25758</v>
      </c>
    </row>
    <row r="29" spans="1:7">
      <c r="A29" s="66"/>
      <c r="B29" s="77"/>
      <c r="C29" s="46">
        <v>33903948</v>
      </c>
      <c r="D29" s="46" t="s">
        <v>112</v>
      </c>
      <c r="E29" s="46" t="s">
        <v>113</v>
      </c>
      <c r="F29" s="47">
        <v>11124</v>
      </c>
      <c r="G29" s="48">
        <v>8343</v>
      </c>
    </row>
    <row r="30" spans="1:7">
      <c r="A30" s="73"/>
      <c r="B30" s="78"/>
      <c r="C30" s="74" t="s">
        <v>71</v>
      </c>
      <c r="D30" s="75"/>
      <c r="E30" s="37"/>
      <c r="F30" s="45">
        <f t="shared" ref="F30:G30" si="2">F27+F26</f>
        <v>59718.5</v>
      </c>
      <c r="G30" s="38">
        <f t="shared" si="2"/>
        <v>44788.880000000005</v>
      </c>
    </row>
    <row r="31" spans="1:7">
      <c r="A31" s="72" t="s">
        <v>80</v>
      </c>
      <c r="B31" s="76" t="s">
        <v>81</v>
      </c>
      <c r="C31" s="36">
        <v>33901414</v>
      </c>
      <c r="D31" s="36" t="s">
        <v>97</v>
      </c>
      <c r="E31" s="36" t="s">
        <v>114</v>
      </c>
      <c r="F31" s="43">
        <v>13989.95</v>
      </c>
      <c r="G31" s="25">
        <v>10492.46</v>
      </c>
    </row>
    <row r="32" spans="1:7">
      <c r="A32" s="66"/>
      <c r="B32" s="77"/>
      <c r="C32" s="36">
        <v>33903301</v>
      </c>
      <c r="D32" s="36" t="s">
        <v>100</v>
      </c>
      <c r="E32" s="36" t="s">
        <v>115</v>
      </c>
      <c r="F32" s="43">
        <v>21288.61</v>
      </c>
      <c r="G32" s="25">
        <v>15966.46</v>
      </c>
    </row>
    <row r="33" spans="1:7">
      <c r="A33" s="66"/>
      <c r="B33" s="77"/>
      <c r="C33" s="36">
        <v>33903602</v>
      </c>
      <c r="D33" s="36" t="s">
        <v>116</v>
      </c>
      <c r="E33" s="36" t="s">
        <v>117</v>
      </c>
      <c r="F33" s="43">
        <v>932.5</v>
      </c>
      <c r="G33" s="25">
        <v>699.38</v>
      </c>
    </row>
    <row r="34" spans="1:7">
      <c r="A34" s="66"/>
      <c r="B34" s="77"/>
      <c r="C34" s="36">
        <v>33903923</v>
      </c>
      <c r="D34" s="36" t="s">
        <v>102</v>
      </c>
      <c r="E34" s="36" t="s">
        <v>118</v>
      </c>
      <c r="F34" s="43">
        <v>11262.37</v>
      </c>
      <c r="G34" s="25">
        <v>8446.7800000000007</v>
      </c>
    </row>
    <row r="35" spans="1:7">
      <c r="A35" s="73"/>
      <c r="B35" s="78"/>
      <c r="C35" s="74" t="s">
        <v>71</v>
      </c>
      <c r="D35" s="75"/>
      <c r="E35" s="37"/>
      <c r="F35" s="45">
        <f t="shared" ref="F35:G35" si="3">SUM(F31:F34)</f>
        <v>47473.43</v>
      </c>
      <c r="G35" s="45">
        <f t="shared" si="3"/>
        <v>35605.08</v>
      </c>
    </row>
    <row r="36" spans="1:7">
      <c r="A36" s="72" t="s">
        <v>82</v>
      </c>
      <c r="B36" s="76" t="s">
        <v>119</v>
      </c>
      <c r="C36" s="76">
        <v>33901414</v>
      </c>
      <c r="D36" s="76" t="s">
        <v>97</v>
      </c>
      <c r="E36" s="36" t="s">
        <v>120</v>
      </c>
      <c r="F36" s="43">
        <v>13043.5</v>
      </c>
      <c r="G36" s="25">
        <v>9782.6299999999992</v>
      </c>
    </row>
    <row r="37" spans="1:7">
      <c r="A37" s="66"/>
      <c r="B37" s="77"/>
      <c r="C37" s="78"/>
      <c r="D37" s="78"/>
      <c r="E37" s="36" t="s">
        <v>121</v>
      </c>
      <c r="F37" s="43">
        <v>9314.4500000000007</v>
      </c>
      <c r="G37" s="25">
        <v>6985.84</v>
      </c>
    </row>
    <row r="38" spans="1:7">
      <c r="A38" s="66"/>
      <c r="B38" s="77"/>
      <c r="C38" s="36">
        <v>33903602</v>
      </c>
      <c r="D38" s="36" t="s">
        <v>116</v>
      </c>
      <c r="E38" s="36" t="s">
        <v>122</v>
      </c>
      <c r="F38" s="43">
        <v>7537.5</v>
      </c>
      <c r="G38" s="25">
        <v>5653.13</v>
      </c>
    </row>
    <row r="39" spans="1:7">
      <c r="A39" s="66"/>
      <c r="B39" s="77"/>
      <c r="C39" s="36">
        <v>33903923</v>
      </c>
      <c r="D39" s="36" t="s">
        <v>102</v>
      </c>
      <c r="E39" s="36" t="s">
        <v>123</v>
      </c>
      <c r="F39" s="43">
        <v>615.29999999999995</v>
      </c>
      <c r="G39" s="25">
        <v>461.48</v>
      </c>
    </row>
    <row r="40" spans="1:7">
      <c r="A40" s="73"/>
      <c r="B40" s="78"/>
      <c r="C40" s="74" t="s">
        <v>71</v>
      </c>
      <c r="D40" s="75"/>
      <c r="E40" s="37"/>
      <c r="F40" s="45">
        <f t="shared" ref="F40:G40" si="4">SUM(F36:F39)</f>
        <v>30510.75</v>
      </c>
      <c r="G40" s="45">
        <f t="shared" si="4"/>
        <v>22883.08</v>
      </c>
    </row>
    <row r="41" spans="1:7">
      <c r="B41" s="76" t="s">
        <v>83</v>
      </c>
      <c r="C41" s="36">
        <v>33901414</v>
      </c>
      <c r="D41" s="36" t="s">
        <v>97</v>
      </c>
      <c r="E41" s="36" t="s">
        <v>124</v>
      </c>
      <c r="F41" s="43">
        <v>41037.800000000003</v>
      </c>
      <c r="G41" s="25">
        <v>30778.35</v>
      </c>
    </row>
    <row r="42" spans="1:7">
      <c r="B42" s="77"/>
      <c r="C42" s="36">
        <v>33903301</v>
      </c>
      <c r="D42" s="36" t="s">
        <v>100</v>
      </c>
      <c r="E42" s="36" t="s">
        <v>125</v>
      </c>
      <c r="F42" s="43">
        <v>15948.94</v>
      </c>
      <c r="G42" s="25">
        <v>11961.71</v>
      </c>
    </row>
    <row r="43" spans="1:7">
      <c r="B43" s="77"/>
      <c r="C43" s="46">
        <v>33903302</v>
      </c>
      <c r="D43" s="46" t="s">
        <v>126</v>
      </c>
      <c r="E43" s="46" t="s">
        <v>127</v>
      </c>
      <c r="F43" s="47">
        <v>14850.94</v>
      </c>
      <c r="G43" s="48">
        <v>11138.21</v>
      </c>
    </row>
    <row r="44" spans="1:7">
      <c r="B44" s="77"/>
      <c r="C44" s="36">
        <v>33903602</v>
      </c>
      <c r="D44" s="36" t="s">
        <v>116</v>
      </c>
      <c r="E44" s="36" t="s">
        <v>128</v>
      </c>
      <c r="F44" s="43">
        <v>5862.5</v>
      </c>
      <c r="G44" s="25">
        <v>4396.88</v>
      </c>
    </row>
    <row r="45" spans="1:7">
      <c r="B45" s="78"/>
      <c r="C45" s="74" t="s">
        <v>71</v>
      </c>
      <c r="D45" s="75"/>
      <c r="E45" s="37"/>
      <c r="F45" s="45">
        <f>F41+F42+F44</f>
        <v>62849.240000000005</v>
      </c>
      <c r="G45" s="45">
        <f>G44+G42+G41</f>
        <v>47136.94</v>
      </c>
    </row>
    <row r="46" spans="1:7">
      <c r="A46" s="72" t="s">
        <v>84</v>
      </c>
      <c r="B46" s="76" t="s">
        <v>85</v>
      </c>
      <c r="C46" s="36">
        <v>33901414</v>
      </c>
      <c r="D46" s="36" t="s">
        <v>97</v>
      </c>
      <c r="E46" s="36" t="s">
        <v>129</v>
      </c>
      <c r="F46" s="43">
        <v>21923.9</v>
      </c>
      <c r="G46" s="25">
        <v>16442.93</v>
      </c>
    </row>
    <row r="47" spans="1:7">
      <c r="A47" s="66"/>
      <c r="B47" s="77"/>
      <c r="C47" s="36">
        <v>33903301</v>
      </c>
      <c r="D47" s="36" t="s">
        <v>100</v>
      </c>
      <c r="E47" s="36" t="s">
        <v>130</v>
      </c>
      <c r="F47" s="43">
        <v>20790.099999999999</v>
      </c>
      <c r="G47" s="25">
        <v>15592.58</v>
      </c>
    </row>
    <row r="48" spans="1:7">
      <c r="A48" s="73"/>
      <c r="B48" s="78"/>
      <c r="C48" s="74" t="s">
        <v>71</v>
      </c>
      <c r="D48" s="75"/>
      <c r="E48" s="37"/>
      <c r="F48" s="45">
        <f t="shared" ref="F48:G48" si="5">SUM(F46:F47)</f>
        <v>42714</v>
      </c>
      <c r="G48" s="45">
        <f t="shared" si="5"/>
        <v>32035.510000000002</v>
      </c>
    </row>
    <row r="49" spans="1:7">
      <c r="A49" s="72" t="s">
        <v>86</v>
      </c>
      <c r="B49" s="76" t="s">
        <v>87</v>
      </c>
      <c r="C49" s="36">
        <v>33901414</v>
      </c>
      <c r="D49" s="36" t="s">
        <v>97</v>
      </c>
      <c r="E49" s="36" t="s">
        <v>131</v>
      </c>
      <c r="F49" s="43">
        <v>27537.439999999999</v>
      </c>
      <c r="G49" s="25">
        <v>20653.080000000002</v>
      </c>
    </row>
    <row r="50" spans="1:7">
      <c r="A50" s="66"/>
      <c r="B50" s="77"/>
      <c r="C50" s="36">
        <v>33903301</v>
      </c>
      <c r="D50" s="36" t="s">
        <v>100</v>
      </c>
      <c r="E50" s="36" t="s">
        <v>132</v>
      </c>
      <c r="F50" s="43">
        <v>11315.1</v>
      </c>
      <c r="G50" s="25">
        <v>8486.33</v>
      </c>
    </row>
    <row r="51" spans="1:7">
      <c r="A51" s="66"/>
      <c r="B51" s="77"/>
      <c r="C51" s="36">
        <v>33903923</v>
      </c>
      <c r="D51" s="36" t="s">
        <v>102</v>
      </c>
      <c r="E51" s="36" t="s">
        <v>133</v>
      </c>
      <c r="F51" s="43">
        <v>1025.5</v>
      </c>
      <c r="G51" s="25">
        <v>769.13</v>
      </c>
    </row>
    <row r="52" spans="1:7">
      <c r="A52" s="66"/>
      <c r="B52" s="77"/>
      <c r="C52" s="46">
        <v>33903948</v>
      </c>
      <c r="D52" s="46" t="s">
        <v>112</v>
      </c>
      <c r="E52" s="46" t="s">
        <v>134</v>
      </c>
      <c r="F52" s="47">
        <v>1787.5</v>
      </c>
      <c r="G52" s="48">
        <v>1340.63</v>
      </c>
    </row>
    <row r="53" spans="1:7">
      <c r="A53" s="66"/>
      <c r="B53" s="77"/>
      <c r="C53" s="46"/>
      <c r="D53" s="46"/>
      <c r="E53" s="46" t="s">
        <v>135</v>
      </c>
      <c r="F53" s="47">
        <v>11670</v>
      </c>
      <c r="G53" s="48">
        <v>8752.5</v>
      </c>
    </row>
    <row r="54" spans="1:7">
      <c r="A54" s="73"/>
      <c r="B54" s="78"/>
      <c r="C54" s="74" t="s">
        <v>71</v>
      </c>
      <c r="D54" s="75"/>
      <c r="E54" s="37"/>
      <c r="F54" s="45">
        <f t="shared" ref="F54:G54" si="6">SUM(F49:F51)</f>
        <v>39878.04</v>
      </c>
      <c r="G54" s="45">
        <f t="shared" si="6"/>
        <v>29908.540000000005</v>
      </c>
    </row>
    <row r="55" spans="1:7">
      <c r="A55" s="79" t="s">
        <v>71</v>
      </c>
      <c r="B55" s="80"/>
      <c r="C55" s="81"/>
      <c r="D55" s="80"/>
      <c r="E55" s="40"/>
      <c r="F55" s="49">
        <f t="shared" ref="F55:G55" si="7">F54+F48+F45+F40+F35+F30+F25+F22+F18</f>
        <v>492936.15</v>
      </c>
      <c r="G55" s="49">
        <f t="shared" si="7"/>
        <v>369702.18000000005</v>
      </c>
    </row>
    <row r="56" spans="1:7">
      <c r="A56" s="61" t="s">
        <v>136</v>
      </c>
      <c r="B56" s="53"/>
      <c r="C56" s="53"/>
      <c r="D56" s="53"/>
      <c r="E56" s="53"/>
      <c r="F56" s="53"/>
      <c r="G56" s="53"/>
    </row>
    <row r="57" spans="1:7">
      <c r="F57" s="50">
        <f>SODS!C18+REITORIAGABINETE!C18+SEPLAN!C18+PRGAF!C18+PRE!C18+PROPEX!C18+PRAC!C18+SRH!C18+PU!C18+SEPE!C18</f>
        <v>499563.1</v>
      </c>
      <c r="G57" s="51">
        <f>SEPE!D4+PU!D4+SRH!D4+PRAC!D4+PROPEX!D4+PRE!D4+PRGAF!D4+SEPLAN!D4+REITORIAGABINETE!D4+SODS!D4</f>
        <v>394672.32500000007</v>
      </c>
    </row>
  </sheetData>
  <mergeCells count="40">
    <mergeCell ref="C40:D40"/>
    <mergeCell ref="C45:D45"/>
    <mergeCell ref="A31:A35"/>
    <mergeCell ref="B31:B35"/>
    <mergeCell ref="C35:D35"/>
    <mergeCell ref="C36:C37"/>
    <mergeCell ref="D36:D37"/>
    <mergeCell ref="C48:D48"/>
    <mergeCell ref="C54:D54"/>
    <mergeCell ref="A55:B55"/>
    <mergeCell ref="C55:D55"/>
    <mergeCell ref="A56:G56"/>
    <mergeCell ref="B36:B40"/>
    <mergeCell ref="B41:B45"/>
    <mergeCell ref="B46:B48"/>
    <mergeCell ref="B49:B54"/>
    <mergeCell ref="A36:A40"/>
    <mergeCell ref="A46:A48"/>
    <mergeCell ref="A49:A54"/>
    <mergeCell ref="A26:A30"/>
    <mergeCell ref="B26:B30"/>
    <mergeCell ref="C30:D30"/>
    <mergeCell ref="A13:B15"/>
    <mergeCell ref="A16:A18"/>
    <mergeCell ref="B16:B18"/>
    <mergeCell ref="A19:A22"/>
    <mergeCell ref="B19:B22"/>
    <mergeCell ref="A23:A25"/>
    <mergeCell ref="B23:B25"/>
    <mergeCell ref="D17:E17"/>
    <mergeCell ref="C18:D18"/>
    <mergeCell ref="C22:D22"/>
    <mergeCell ref="C25:D25"/>
    <mergeCell ref="A1:G1"/>
    <mergeCell ref="A3:C3"/>
    <mergeCell ref="A6:G6"/>
    <mergeCell ref="A9:E9"/>
    <mergeCell ref="A11:B11"/>
    <mergeCell ref="C13:D15"/>
    <mergeCell ref="F13:G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SODS</vt:lpstr>
      <vt:lpstr>REITORIAGABINETE</vt:lpstr>
      <vt:lpstr>SEPLAN</vt:lpstr>
      <vt:lpstr>PRGAF</vt:lpstr>
      <vt:lpstr>PRE</vt:lpstr>
      <vt:lpstr>PROPEX</vt:lpstr>
      <vt:lpstr>PRAC</vt:lpstr>
      <vt:lpstr>SRH</vt:lpstr>
      <vt:lpstr>PU</vt:lpstr>
      <vt:lpstr>SEPE</vt:lpstr>
      <vt:lpstr>PRPG</vt:lpstr>
      <vt:lpstr>Dotação Atualizada</vt:lpstr>
      <vt:lpstr>Memória de Cálculo para Limite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Nivaldo Junior</dc:creator>
  <cp:lastModifiedBy>Nivaldo Junior</cp:lastModifiedBy>
  <dcterms:created xsi:type="dcterms:W3CDTF">2026-08-09T13:01:24Z</dcterms:created>
  <dcterms:modified xsi:type="dcterms:W3CDTF">2026-08-09T13:01:24Z</dcterms:modified>
</cp:coreProperties>
</file>